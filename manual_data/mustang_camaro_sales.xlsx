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aadf4a337f7676/Documents/Coding/Data/mustang_camaro_sales/"/>
    </mc:Choice>
  </mc:AlternateContent>
  <xr:revisionPtr revIDLastSave="4" documentId="8_{248016AA-CE17-47F1-9C88-227B993F2E9A}" xr6:coauthVersionLast="47" xr6:coauthVersionMax="47" xr10:uidLastSave="{F8650005-CF23-4246-8772-8D1703433322}"/>
  <bookViews>
    <workbookView xWindow="-108" yWindow="-108" windowWidth="23256" windowHeight="12456" activeTab="3" xr2:uid="{40C961B5-F5A0-448B-B39A-8F74CE048851}"/>
  </bookViews>
  <sheets>
    <sheet name="camaro_sales" sheetId="8" r:id="rId1"/>
    <sheet name="sales_year_wikipedia" sheetId="6" r:id="rId2"/>
    <sheet name="Sheet5" sheetId="5" r:id="rId3"/>
    <sheet name="sales_body_type" sheetId="1" r:id="rId4"/>
    <sheet name="sales_generation" sheetId="2" r:id="rId5"/>
    <sheet name="Sheet4" sheetId="4" r:id="rId6"/>
    <sheet name="mustang_sales" sheetId="3" r:id="rId7"/>
    <sheet name="year_comparison" sheetId="7" r:id="rId8"/>
  </sheet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2" i="7"/>
</calcChain>
</file>

<file path=xl/sharedStrings.xml><?xml version="1.0" encoding="utf-8"?>
<sst xmlns="http://schemas.openxmlformats.org/spreadsheetml/2006/main" count="379" uniqueCount="106">
  <si>
    <t>Total</t>
  </si>
  <si>
    <t>Hardtop</t>
  </si>
  <si>
    <t>Convertible</t>
  </si>
  <si>
    <t>Fastback</t>
  </si>
  <si>
    <t>Hardtop Grande</t>
  </si>
  <si>
    <t>Fastback Boss 302</t>
  </si>
  <si>
    <t>Fastback Boss 429</t>
  </si>
  <si>
    <t>Fastback Mach 1</t>
  </si>
  <si>
    <t>Fastback Boss 351</t>
  </si>
  <si>
    <t>Coupe</t>
  </si>
  <si>
    <t>Hatchback</t>
  </si>
  <si>
    <t>Coupe Ghia</t>
  </si>
  <si>
    <t>Hatchback Mach 1</t>
  </si>
  <si>
    <t>Hatchback Cobra II</t>
  </si>
  <si>
    <t>Hatchback Cobra</t>
  </si>
  <si>
    <t>Hatchback Pace Car</t>
  </si>
  <si>
    <t>Hatchback Ghia</t>
  </si>
  <si>
    <t>Hatchback Base, Cobra</t>
  </si>
  <si>
    <t>*S economy model</t>
  </si>
  <si>
    <t>Coupe GLX</t>
  </si>
  <si>
    <t>Hatchback GLX</t>
  </si>
  <si>
    <t>Hatchback GT</t>
  </si>
  <si>
    <t>Convertible GLX</t>
  </si>
  <si>
    <t>(5368 5.0L GLX)</t>
  </si>
  <si>
    <t>Convertible GT</t>
  </si>
  <si>
    <t>(993 US, 8 Canada)</t>
  </si>
  <si>
    <t>Hatchback LX</t>
  </si>
  <si>
    <t>Convertible LX</t>
  </si>
  <si>
    <t>Hatchback SVO</t>
  </si>
  <si>
    <t>Coupe LX</t>
  </si>
  <si>
    <t>Hatchback LX, GT*</t>
  </si>
  <si>
    <t>Convertible LX, GT*</t>
  </si>
  <si>
    <t>Mustang GT: 59,701</t>
  </si>
  <si>
    <t>Mustang GT: 34,435, Mustang LX 5.0L: 44,851</t>
  </si>
  <si>
    <t>Convertible LX**, GT*</t>
  </si>
  <si>
    <t>Green 25th Anniversary Models: 4,10</t>
  </si>
  <si>
    <t>Mustang GT: 24,428, Mustang LX 5.0L: 27,880</t>
  </si>
  <si>
    <t>Mustang GT: 20,445, Mustang LX 5.0L: 19,131</t>
  </si>
  <si>
    <t>Mustang GT: 26,101, Mustang LX 5.0L: 22,902</t>
  </si>
  <si>
    <t>Hatchback Cobra R</t>
  </si>
  <si>
    <t>Coupe V6</t>
  </si>
  <si>
    <t>Coupe GT</t>
  </si>
  <si>
    <t>Coupe Cobra</t>
  </si>
  <si>
    <t>Convertible V6</t>
  </si>
  <si>
    <t>Convertible Cobra Pace Car</t>
  </si>
  <si>
    <t>Coupe GTS</t>
  </si>
  <si>
    <t>Coupe Cobra R</t>
  </si>
  <si>
    <t>Convertible Cobra</t>
  </si>
  <si>
    <t>Coupe GT Anniversary</t>
  </si>
  <si>
    <t>Convertible GT Anniversary</t>
  </si>
  <si>
    <t>Coupe Bullitt GT</t>
  </si>
  <si>
    <t>Cobra Convertible</t>
  </si>
  <si>
    <t>(all shipped to Australia)</t>
  </si>
  <si>
    <t>Coupe 100th Anniversary</t>
  </si>
  <si>
    <t>Coupe Mach 1</t>
  </si>
  <si>
    <t>Convertible 100th Anniversary</t>
  </si>
  <si>
    <t>Coupe Mach-1</t>
  </si>
  <si>
    <t>Cobra Coupe</t>
  </si>
  <si>
    <t>GT-H Coupe</t>
  </si>
  <si>
    <t>(Hertz models)</t>
  </si>
  <si>
    <t>Coupe Shelby GT/SC</t>
  </si>
  <si>
    <t>Convertible Shelby GT-H</t>
  </si>
  <si>
    <t>Coupe Shelby GT500</t>
  </si>
  <si>
    <t>Convertible Shelby GT500</t>
  </si>
  <si>
    <t>Coupe V6 Sally</t>
  </si>
  <si>
    <t>Coupe GT California Special</t>
  </si>
  <si>
    <t>Coupe GT Bullitt</t>
  </si>
  <si>
    <t>Coupe Shelby GT</t>
  </si>
  <si>
    <t>Convertible V6 Sally</t>
  </si>
  <si>
    <t>Convertible GT California Special</t>
  </si>
  <si>
    <t>Coupe Shelby GT500KR</t>
  </si>
  <si>
    <t>Coupe Mustang Club of America</t>
  </si>
  <si>
    <t>Convertible Mustang Club of America</t>
  </si>
  <si>
    <t>Coupe Shelby GT350</t>
  </si>
  <si>
    <t>(incl. above)</t>
  </si>
  <si>
    <t>Coupe Boss 302</t>
  </si>
  <si>
    <t>Coupe Boss Laguna Seca 302</t>
  </si>
  <si>
    <t>Coupe Boss 302S</t>
  </si>
  <si>
    <t>Coupe Boss 302R</t>
  </si>
  <si>
    <t>Convertible Shelby GT350</t>
  </si>
  <si>
    <t>Cobra Jet Coupe</t>
  </si>
  <si>
    <t>Fastback V6</t>
  </si>
  <si>
    <t>Fastback GT</t>
  </si>
  <si>
    <t>Fastback EcoBoost</t>
  </si>
  <si>
    <t>Convertible EcoBoost</t>
  </si>
  <si>
    <t>Fastback GT350</t>
  </si>
  <si>
    <t>Fastback Bullitt</t>
  </si>
  <si>
    <t>Generation</t>
  </si>
  <si>
    <t>Growth</t>
  </si>
  <si>
    <t>% of Total</t>
  </si>
  <si>
    <t>1st Generation</t>
  </si>
  <si>
    <t>2nd Generation</t>
  </si>
  <si>
    <t>3rd Generation</t>
  </si>
  <si>
    <t>4th Generation</t>
  </si>
  <si>
    <t>5th Generation</t>
  </si>
  <si>
    <t>6th Generation</t>
  </si>
  <si>
    <t>generation</t>
  </si>
  <si>
    <t>year</t>
  </si>
  <si>
    <t>sales</t>
  </si>
  <si>
    <t>Row Labels</t>
  </si>
  <si>
    <t>Grand Total</t>
  </si>
  <si>
    <t>Sum of sales</t>
  </si>
  <si>
    <t>body_style</t>
  </si>
  <si>
    <t>notes</t>
  </si>
  <si>
    <t>wikipedia</t>
  </si>
  <si>
    <t>mustangspecs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</si>
</sst>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mas Gette" refreshedDate="44977.50995659722" createdVersion="8" refreshedVersion="8" minRefreshableVersion="3" recordCount="57" xr:uid="{EA96B61A-919D-4278-B246-FC70B705884A}">
  <cacheSource type="worksheet">
    <worksheetSource ref="A1:C58" sheet="mustang_sales"/>
  </cacheSource>
  <cacheFields count="3">
    <cacheField name="year" numFmtId="0">
      <sharedItems containsSemiMixedTypes="0" containsString="0" containsNumber="1" containsInteger="1" minValue="1964" maxValue="2020"/>
    </cacheField>
    <cacheField name="sales" numFmtId="0">
      <sharedItems containsSemiMixedTypes="0" containsString="0" containsNumber="1" containsInteger="1" minValue="0" maxValue="607568"/>
    </cacheField>
    <cacheField name="generation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mas Gette" refreshedDate="44977.526791087963" createdVersion="8" refreshedVersion="8" minRefreshableVersion="3" recordCount="333" xr:uid="{22D30C10-C00E-4C59-95F5-FF07F6913C34}">
  <cacheSource type="worksheet">
    <worksheetSource ref="A1:D334" sheet="sales_body_type"/>
  </cacheSource>
  <cacheFields count="4">
    <cacheField name="year" numFmtId="0">
      <sharedItems containsSemiMixedTypes="0" containsString="0" containsNumber="1" containsInteger="1" minValue="1964" maxValue="2019" count="56"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</sharedItems>
    </cacheField>
    <cacheField name="body_style" numFmtId="0">
      <sharedItems/>
    </cacheField>
    <cacheField name="sales" numFmtId="0">
      <sharedItems containsString="0" containsBlank="1" containsNumber="1" containsInteger="1" minValue="0" maxValue="422416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n v="1964"/>
    <n v="121538"/>
    <x v="0"/>
  </r>
  <r>
    <n v="1965"/>
    <n v="559500"/>
    <x v="0"/>
  </r>
  <r>
    <n v="1966"/>
    <n v="607568"/>
    <x v="0"/>
  </r>
  <r>
    <n v="1967"/>
    <n v="472121"/>
    <x v="0"/>
  </r>
  <r>
    <n v="1968"/>
    <n v="317404"/>
    <x v="0"/>
  </r>
  <r>
    <n v="1969"/>
    <n v="299824"/>
    <x v="0"/>
  </r>
  <r>
    <n v="1970"/>
    <n v="190727"/>
    <x v="0"/>
  </r>
  <r>
    <n v="1971"/>
    <n v="149678"/>
    <x v="0"/>
  </r>
  <r>
    <n v="1972"/>
    <n v="125903"/>
    <x v="0"/>
  </r>
  <r>
    <n v="1973"/>
    <n v="134867"/>
    <x v="0"/>
  </r>
  <r>
    <n v="1974"/>
    <n v="385993"/>
    <x v="1"/>
  </r>
  <r>
    <n v="1975"/>
    <n v="188575"/>
    <x v="1"/>
  </r>
  <r>
    <n v="1976"/>
    <n v="187567"/>
    <x v="1"/>
  </r>
  <r>
    <n v="1977"/>
    <n v="153173"/>
    <x v="1"/>
  </r>
  <r>
    <n v="1978"/>
    <n v="192410"/>
    <x v="1"/>
  </r>
  <r>
    <n v="1979"/>
    <n v="369936"/>
    <x v="2"/>
  </r>
  <r>
    <n v="1980"/>
    <n v="271322"/>
    <x v="2"/>
  </r>
  <r>
    <n v="1981"/>
    <n v="182552"/>
    <x v="2"/>
  </r>
  <r>
    <n v="1982"/>
    <n v="130418"/>
    <x v="2"/>
  </r>
  <r>
    <n v="1983"/>
    <n v="120873"/>
    <x v="2"/>
  </r>
  <r>
    <n v="1984"/>
    <n v="141480"/>
    <x v="2"/>
  </r>
  <r>
    <n v="1985"/>
    <n v="156514"/>
    <x v="2"/>
  </r>
  <r>
    <n v="1986"/>
    <n v="224410"/>
    <x v="2"/>
  </r>
  <r>
    <n v="1987"/>
    <n v="169772"/>
    <x v="2"/>
  </r>
  <r>
    <n v="1988"/>
    <n v="211225"/>
    <x v="2"/>
  </r>
  <r>
    <n v="1989"/>
    <n v="209769"/>
    <x v="2"/>
  </r>
  <r>
    <n v="1990"/>
    <n v="128189"/>
    <x v="2"/>
  </r>
  <r>
    <n v="1991"/>
    <n v="98737"/>
    <x v="2"/>
  </r>
  <r>
    <n v="1992"/>
    <n v="79280"/>
    <x v="2"/>
  </r>
  <r>
    <n v="1993"/>
    <n v="114228"/>
    <x v="2"/>
  </r>
  <r>
    <n v="1994"/>
    <n v="123198"/>
    <x v="3"/>
  </r>
  <r>
    <n v="1995"/>
    <n v="185986"/>
    <x v="3"/>
  </r>
  <r>
    <n v="1996"/>
    <n v="135620"/>
    <x v="3"/>
  </r>
  <r>
    <n v="1997"/>
    <n v="108344"/>
    <x v="3"/>
  </r>
  <r>
    <n v="1998"/>
    <n v="175522"/>
    <x v="3"/>
  </r>
  <r>
    <n v="1999"/>
    <n v="133637"/>
    <x v="3"/>
  </r>
  <r>
    <n v="2000"/>
    <n v="215239"/>
    <x v="3"/>
  </r>
  <r>
    <n v="2001"/>
    <n v="163818"/>
    <x v="3"/>
  </r>
  <r>
    <n v="2002"/>
    <n v="142647"/>
    <x v="3"/>
  </r>
  <r>
    <n v="2003"/>
    <n v="153367"/>
    <x v="3"/>
  </r>
  <r>
    <n v="2004"/>
    <n v="141907"/>
    <x v="3"/>
  </r>
  <r>
    <n v="2005"/>
    <n v="160412"/>
    <x v="4"/>
  </r>
  <r>
    <n v="2006"/>
    <n v="166262"/>
    <x v="4"/>
  </r>
  <r>
    <n v="2007"/>
    <n v="158180"/>
    <x v="4"/>
  </r>
  <r>
    <n v="2008"/>
    <n v="108767"/>
    <x v="4"/>
  </r>
  <r>
    <n v="2009"/>
    <n v="46420"/>
    <x v="4"/>
  </r>
  <r>
    <n v="2010"/>
    <n v="81024"/>
    <x v="4"/>
  </r>
  <r>
    <n v="2011"/>
    <n v="70438"/>
    <x v="4"/>
  </r>
  <r>
    <n v="2012"/>
    <n v="88064"/>
    <x v="4"/>
  </r>
  <r>
    <n v="2013"/>
    <n v="77186"/>
    <x v="4"/>
  </r>
  <r>
    <n v="2014"/>
    <n v="134075"/>
    <x v="4"/>
  </r>
  <r>
    <n v="2015"/>
    <n v="165100"/>
    <x v="5"/>
  </r>
  <r>
    <n v="2016"/>
    <n v="142400"/>
    <x v="5"/>
  </r>
  <r>
    <n v="2017"/>
    <n v="120800"/>
    <x v="5"/>
  </r>
  <r>
    <n v="2018"/>
    <n v="108540"/>
    <x v="5"/>
  </r>
  <r>
    <n v="2019"/>
    <n v="0"/>
    <x v="5"/>
  </r>
  <r>
    <n v="2020"/>
    <n v="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">
  <r>
    <x v="0"/>
    <s v="Hardtop"/>
    <n v="92705"/>
    <m/>
  </r>
  <r>
    <x v="0"/>
    <s v="Convertible"/>
    <n v="28833"/>
    <m/>
  </r>
  <r>
    <x v="1"/>
    <s v="Hardtop"/>
    <n v="410260"/>
    <m/>
  </r>
  <r>
    <x v="1"/>
    <s v="Convertible"/>
    <n v="73149"/>
    <m/>
  </r>
  <r>
    <x v="1"/>
    <s v="Fastback"/>
    <n v="77079"/>
    <m/>
  </r>
  <r>
    <x v="2"/>
    <s v="Hardtop"/>
    <n v="422416"/>
    <m/>
  </r>
  <r>
    <x v="2"/>
    <s v="Fastback"/>
    <n v="35698"/>
    <m/>
  </r>
  <r>
    <x v="2"/>
    <s v="Convertible"/>
    <n v="72119"/>
    <m/>
  </r>
  <r>
    <x v="3"/>
    <s v="Hardtop"/>
    <n v="356271"/>
    <m/>
  </r>
  <r>
    <x v="3"/>
    <s v="Fastback"/>
    <n v="71042"/>
    <m/>
  </r>
  <r>
    <x v="3"/>
    <s v="Convertible"/>
    <n v="44808"/>
    <m/>
  </r>
  <r>
    <x v="4"/>
    <s v="Hardtop"/>
    <n v="249447"/>
    <m/>
  </r>
  <r>
    <x v="4"/>
    <s v="Fastback"/>
    <n v="42581"/>
    <m/>
  </r>
  <r>
    <x v="4"/>
    <s v="Convertible"/>
    <n v="25376"/>
    <m/>
  </r>
  <r>
    <x v="5"/>
    <s v="Hardtop"/>
    <n v="128458"/>
    <m/>
  </r>
  <r>
    <x v="5"/>
    <s v="Hardtop Grande"/>
    <n v="22182"/>
    <m/>
  </r>
  <r>
    <x v="5"/>
    <s v="Fastback"/>
    <n v="59495"/>
    <m/>
  </r>
  <r>
    <x v="5"/>
    <s v="Fastback Boss 302"/>
    <n v="1628"/>
    <m/>
  </r>
  <r>
    <x v="5"/>
    <s v="Fastback Boss 429"/>
    <n v="859"/>
    <m/>
  </r>
  <r>
    <x v="5"/>
    <s v="Fastback Mach 1"/>
    <n v="72458"/>
    <m/>
  </r>
  <r>
    <x v="5"/>
    <s v="Convertible"/>
    <n v="14746"/>
    <m/>
  </r>
  <r>
    <x v="6"/>
    <s v="Hardtop"/>
    <n v="82569"/>
    <m/>
  </r>
  <r>
    <x v="6"/>
    <s v="Fastback"/>
    <n v="38422"/>
    <m/>
  </r>
  <r>
    <x v="6"/>
    <s v="Fastback Boss 302"/>
    <n v="7013"/>
    <m/>
  </r>
  <r>
    <x v="6"/>
    <s v="Fastback Boss 429"/>
    <n v="499"/>
    <m/>
  </r>
  <r>
    <x v="6"/>
    <s v="Hardtop Grande"/>
    <n v="13581"/>
    <m/>
  </r>
  <r>
    <x v="6"/>
    <s v="Fastback Mach 1"/>
    <n v="40970"/>
    <m/>
  </r>
  <r>
    <x v="6"/>
    <s v="Convertible"/>
    <n v="7673"/>
    <m/>
  </r>
  <r>
    <x v="7"/>
    <s v="Hardtop"/>
    <n v="65696"/>
    <m/>
  </r>
  <r>
    <x v="7"/>
    <s v="Hardtop Grande"/>
    <n v="17406"/>
    <m/>
  </r>
  <r>
    <x v="7"/>
    <s v="Fastback"/>
    <n v="22150"/>
    <m/>
  </r>
  <r>
    <x v="7"/>
    <s v="Fastback Boss 351"/>
    <n v="1806"/>
    <m/>
  </r>
  <r>
    <x v="7"/>
    <s v="Fastback Mach 1"/>
    <n v="36499"/>
    <m/>
  </r>
  <r>
    <x v="7"/>
    <s v="Convertible"/>
    <n v="6121"/>
    <m/>
  </r>
  <r>
    <x v="8"/>
    <s v="Hardtop"/>
    <n v="57350"/>
    <m/>
  </r>
  <r>
    <x v="8"/>
    <s v="Hardtop Grande"/>
    <n v="18045"/>
    <m/>
  </r>
  <r>
    <x v="8"/>
    <s v="Fastback"/>
    <n v="15622"/>
    <m/>
  </r>
  <r>
    <x v="8"/>
    <s v="Fastback Mach 1"/>
    <n v="27675"/>
    <m/>
  </r>
  <r>
    <x v="8"/>
    <s v="Convertible"/>
    <n v="6401"/>
    <m/>
  </r>
  <r>
    <x v="9"/>
    <s v="Hardtop"/>
    <n v="51480"/>
    <m/>
  </r>
  <r>
    <x v="9"/>
    <s v="Hardtop Grande"/>
    <n v="25274"/>
    <m/>
  </r>
  <r>
    <x v="9"/>
    <s v="Fastback"/>
    <n v="10820"/>
    <m/>
  </r>
  <r>
    <x v="9"/>
    <s v="Fastback Mach 1"/>
    <n v="35440"/>
    <m/>
  </r>
  <r>
    <x v="9"/>
    <s v="Convertible"/>
    <n v="11853"/>
    <m/>
  </r>
  <r>
    <x v="10"/>
    <s v="Coupe"/>
    <n v="177671"/>
    <m/>
  </r>
  <r>
    <x v="10"/>
    <s v="Hatchback"/>
    <n v="74799"/>
    <m/>
  </r>
  <r>
    <x v="10"/>
    <s v="Coupe Ghia"/>
    <n v="89477"/>
    <m/>
  </r>
  <r>
    <x v="10"/>
    <s v="Hatchback Mach 1"/>
    <n v="44046"/>
    <m/>
  </r>
  <r>
    <x v="11"/>
    <s v="Coupe"/>
    <n v="85155"/>
    <m/>
  </r>
  <r>
    <x v="11"/>
    <s v="Hatchback"/>
    <n v="30038"/>
    <m/>
  </r>
  <r>
    <x v="11"/>
    <s v="Coupe Ghia"/>
    <n v="51320"/>
    <m/>
  </r>
  <r>
    <x v="11"/>
    <s v="Hatchback Mach 1"/>
    <n v="21062"/>
    <m/>
  </r>
  <r>
    <x v="12"/>
    <s v="Coupe"/>
    <n v="78508"/>
    <m/>
  </r>
  <r>
    <x v="12"/>
    <s v="Hatchback"/>
    <n v="38053"/>
    <m/>
  </r>
  <r>
    <x v="12"/>
    <s v="Hatchback Cobra II"/>
    <n v="25259"/>
    <m/>
  </r>
  <r>
    <x v="12"/>
    <s v="Coupe Ghia"/>
    <n v="37515"/>
    <m/>
  </r>
  <r>
    <x v="12"/>
    <s v="Hatchback Mach 1"/>
    <n v="9232"/>
    <m/>
  </r>
  <r>
    <x v="13"/>
    <s v="Coupe"/>
    <n v="67783"/>
    <m/>
  </r>
  <r>
    <x v="13"/>
    <s v="Hatchback"/>
    <n v="37213"/>
    <m/>
  </r>
  <r>
    <x v="13"/>
    <s v="Hatchback Cobra II"/>
    <n v="11948"/>
    <m/>
  </r>
  <r>
    <x v="13"/>
    <s v="Coupe Ghia"/>
    <n v="29510"/>
    <m/>
  </r>
  <r>
    <x v="13"/>
    <s v="Hatchback Mach 1"/>
    <n v="6719"/>
    <m/>
  </r>
  <r>
    <x v="14"/>
    <s v="Coupe"/>
    <n v="81304"/>
    <m/>
  </r>
  <r>
    <x v="14"/>
    <s v="Hatchback"/>
    <n v="60399"/>
    <m/>
  </r>
  <r>
    <x v="14"/>
    <s v="Hatchback Cobra II"/>
    <n v="8009"/>
    <m/>
  </r>
  <r>
    <x v="14"/>
    <s v="Coupe Ghia"/>
    <n v="34730"/>
    <m/>
  </r>
  <r>
    <x v="14"/>
    <s v="Hatchback Mach 1"/>
    <n v="7968"/>
    <m/>
  </r>
  <r>
    <x v="15"/>
    <s v="Coupe"/>
    <n v="156666"/>
    <m/>
  </r>
  <r>
    <x v="15"/>
    <s v="Hatchback"/>
    <n v="92478"/>
    <m/>
  </r>
  <r>
    <x v="15"/>
    <s v="Hatchback Cobra"/>
    <n v="17579"/>
    <m/>
  </r>
  <r>
    <x v="15"/>
    <s v="Hatchback Pace Car"/>
    <n v="10478"/>
    <m/>
  </r>
  <r>
    <x v="15"/>
    <s v="Coupe Ghia"/>
    <n v="56351"/>
    <m/>
  </r>
  <r>
    <x v="15"/>
    <s v="Hatchback Ghia"/>
    <n v="36384"/>
    <m/>
  </r>
  <r>
    <x v="16"/>
    <s v="Coupe"/>
    <n v="128893"/>
    <m/>
  </r>
  <r>
    <x v="16"/>
    <s v="Hatchback Base, Cobra"/>
    <n v="98497"/>
    <m/>
  </r>
  <r>
    <x v="16"/>
    <s v="Coupe Ghia"/>
    <n v="23647"/>
    <m/>
  </r>
  <r>
    <x v="16"/>
    <s v="Hatchback Ghia"/>
    <n v="20285"/>
    <m/>
  </r>
  <r>
    <x v="17"/>
    <s v="Coupe"/>
    <n v="77458"/>
    <s v="*S economy model"/>
  </r>
  <r>
    <x v="17"/>
    <s v="Hatchback Base, Cobra"/>
    <n v="77399"/>
    <m/>
  </r>
  <r>
    <x v="17"/>
    <s v="Coupe Ghia"/>
    <n v="13422"/>
    <m/>
  </r>
  <r>
    <x v="17"/>
    <s v="Hatchback Ghia"/>
    <n v="14273"/>
    <m/>
  </r>
  <r>
    <x v="18"/>
    <s v="Coupe"/>
    <n v="45316"/>
    <m/>
  </r>
  <r>
    <x v="18"/>
    <s v="Coupe GLX"/>
    <n v="5828"/>
    <m/>
  </r>
  <r>
    <x v="18"/>
    <s v="Hatchback GLX"/>
    <n v="9926"/>
    <m/>
  </r>
  <r>
    <x v="18"/>
    <s v="Hatchback"/>
    <n v="44549"/>
    <m/>
  </r>
  <r>
    <x v="18"/>
    <s v="Hatchback GT"/>
    <n v="24799"/>
    <m/>
  </r>
  <r>
    <x v="19"/>
    <s v="Coupe"/>
    <n v="33201"/>
    <m/>
  </r>
  <r>
    <x v="19"/>
    <s v="Convertible GLX"/>
    <n v="22437"/>
    <s v="(5368 5.0L GLX)"/>
  </r>
  <r>
    <x v="19"/>
    <s v="Convertible GT"/>
    <n v="1001"/>
    <s v="(993 US, 8 Canada)"/>
  </r>
  <r>
    <x v="19"/>
    <s v="Hatchback LX"/>
    <n v="37586"/>
    <m/>
  </r>
  <r>
    <x v="19"/>
    <s v="Hatchback GT"/>
    <n v="26648"/>
    <m/>
  </r>
  <r>
    <x v="20"/>
    <s v="Coupe"/>
    <n v="37680"/>
    <m/>
  </r>
  <r>
    <x v="20"/>
    <s v="Convertible LX"/>
    <n v="11344"/>
    <m/>
  </r>
  <r>
    <x v="20"/>
    <s v="Convertible GT"/>
    <n v="6256"/>
    <m/>
  </r>
  <r>
    <x v="20"/>
    <s v="Hatchback LX"/>
    <n v="55542"/>
    <m/>
  </r>
  <r>
    <x v="20"/>
    <s v="Hatchback GT"/>
    <n v="22150"/>
    <m/>
  </r>
  <r>
    <x v="20"/>
    <s v="Hatchback SVO"/>
    <n v="4508"/>
    <m/>
  </r>
  <r>
    <x v="21"/>
    <s v="Coupe"/>
    <n v="56781"/>
    <m/>
  </r>
  <r>
    <x v="21"/>
    <s v="Convertible LX"/>
    <n v="9561"/>
    <m/>
  </r>
  <r>
    <x v="21"/>
    <s v="Convertible GT"/>
    <n v="5549"/>
    <m/>
  </r>
  <r>
    <x v="21"/>
    <s v="Hatchback LX"/>
    <n v="46229"/>
    <m/>
  </r>
  <r>
    <x v="21"/>
    <s v="Hatchback GT"/>
    <n v="36879"/>
    <m/>
  </r>
  <r>
    <x v="21"/>
    <s v="Hatchback SVO"/>
    <n v="1515"/>
    <m/>
  </r>
  <r>
    <x v="22"/>
    <s v="Coupe"/>
    <n v="83774"/>
    <m/>
  </r>
  <r>
    <x v="22"/>
    <s v="Convertible LX"/>
    <n v="13058"/>
    <m/>
  </r>
  <r>
    <x v="22"/>
    <s v="Convertible GT"/>
    <n v="9887"/>
    <m/>
  </r>
  <r>
    <x v="22"/>
    <s v="Hatchback LX"/>
    <n v="73541"/>
    <m/>
  </r>
  <r>
    <x v="22"/>
    <s v="Hatchback GT"/>
    <n v="40578"/>
    <m/>
  </r>
  <r>
    <x v="22"/>
    <s v="Hatchback SVO"/>
    <n v="3379"/>
    <m/>
  </r>
  <r>
    <x v="23"/>
    <s v="Coupe LX"/>
    <n v="43257"/>
    <m/>
  </r>
  <r>
    <x v="23"/>
    <s v="Hatchback LX"/>
    <n v="57353"/>
    <m/>
  </r>
  <r>
    <x v="23"/>
    <s v="Hatchback GT"/>
    <n v="37088"/>
    <m/>
  </r>
  <r>
    <x v="23"/>
    <s v="Convertible LX"/>
    <n v="21623"/>
    <m/>
  </r>
  <r>
    <x v="23"/>
    <s v="Convertible GT"/>
    <n v="10451"/>
    <m/>
  </r>
  <r>
    <x v="24"/>
    <s v="Coupe LX"/>
    <n v="53221"/>
    <m/>
  </r>
  <r>
    <x v="24"/>
    <s v="Hatchback LX"/>
    <n v="75636"/>
    <m/>
  </r>
  <r>
    <x v="24"/>
    <s v="Hatchback GT"/>
    <n v="50294"/>
    <m/>
  </r>
  <r>
    <x v="24"/>
    <s v="Convertible LX"/>
    <n v="13900"/>
    <m/>
  </r>
  <r>
    <x v="24"/>
    <s v="Convertible GT"/>
    <n v="18174"/>
    <m/>
  </r>
  <r>
    <x v="25"/>
    <s v="Coupe LX"/>
    <n v="50560"/>
    <m/>
  </r>
  <r>
    <x v="25"/>
    <s v="Hatchback LX, GT*"/>
    <n v="116965"/>
    <m/>
  </r>
  <r>
    <x v="25"/>
    <s v="Convertible LX, GT*"/>
    <n v="42244"/>
    <s v="Mustang GT: 59,701"/>
  </r>
  <r>
    <x v="26"/>
    <s v="Coupe LX"/>
    <n v="22503"/>
    <m/>
  </r>
  <r>
    <x v="26"/>
    <s v="Hatchback LX, GT*"/>
    <n v="78728"/>
    <s v="Mustang GT: 34,435, Mustang LX 5.0L: 44,851"/>
  </r>
  <r>
    <x v="26"/>
    <s v="Convertible LX**, GT*"/>
    <n v="26958"/>
    <s v="Green 25th Anniversary Models: 4,10"/>
  </r>
  <r>
    <x v="27"/>
    <s v="Coupe LX"/>
    <n v="19447"/>
    <m/>
  </r>
  <r>
    <x v="27"/>
    <s v="Hatchback LX, GT*"/>
    <n v="57777"/>
    <s v="Mustang GT: 24,428, Mustang LX 5.0L: 27,880"/>
  </r>
  <r>
    <x v="27"/>
    <s v="Convertible LX, GT*"/>
    <n v="21513"/>
    <m/>
  </r>
  <r>
    <x v="28"/>
    <s v="Coupe LX"/>
    <n v="15717"/>
    <m/>
  </r>
  <r>
    <x v="28"/>
    <s v="Hatchback LX, GT*"/>
    <n v="40093"/>
    <s v="Mustang GT: 20,445, Mustang LX 5.0L: 19,131"/>
  </r>
  <r>
    <x v="28"/>
    <s v="Convertible LX, GT*"/>
    <n v="23470"/>
    <m/>
  </r>
  <r>
    <x v="29"/>
    <s v="Coupe LX"/>
    <n v="24851"/>
    <m/>
  </r>
  <r>
    <x v="29"/>
    <s v="Hatchback LX, GT*"/>
    <n v="56977"/>
    <s v="Mustang GT: 26,101, Mustang LX 5.0L: 22,902"/>
  </r>
  <r>
    <x v="29"/>
    <s v="Hatchback Cobra"/>
    <n v="4993"/>
    <m/>
  </r>
  <r>
    <x v="29"/>
    <s v="Hatchback Cobra R"/>
    <n v="107"/>
    <m/>
  </r>
  <r>
    <x v="29"/>
    <s v="Convertible LX, GT*"/>
    <n v="27300"/>
    <m/>
  </r>
  <r>
    <x v="30"/>
    <s v="Coupe V6"/>
    <n v="42883"/>
    <m/>
  </r>
  <r>
    <x v="30"/>
    <s v="Coupe GT"/>
    <n v="30592"/>
    <m/>
  </r>
  <r>
    <x v="30"/>
    <s v="Coupe Cobra"/>
    <n v="5009"/>
    <m/>
  </r>
  <r>
    <x v="30"/>
    <s v="Convertible V6"/>
    <n v="18333"/>
    <m/>
  </r>
  <r>
    <x v="30"/>
    <s v="Convertible GT"/>
    <n v="25381"/>
    <m/>
  </r>
  <r>
    <x v="30"/>
    <s v="Convertible Cobra Pace Car"/>
    <n v="1000"/>
    <m/>
  </r>
  <r>
    <x v="31"/>
    <s v="Coupe V6"/>
    <n v="86379"/>
    <m/>
  </r>
  <r>
    <x v="31"/>
    <s v="Coupe GT"/>
    <n v="40718"/>
    <m/>
  </r>
  <r>
    <x v="31"/>
    <s v="Coupe GTS"/>
    <n v="6370"/>
    <m/>
  </r>
  <r>
    <x v="31"/>
    <s v="Coupe Cobra"/>
    <n v="4005"/>
    <m/>
  </r>
  <r>
    <x v="31"/>
    <s v="Coupe Cobra R"/>
    <n v="250"/>
    <m/>
  </r>
  <r>
    <x v="31"/>
    <s v="Convertible V6"/>
    <n v="30593"/>
    <m/>
  </r>
  <r>
    <x v="31"/>
    <s v="Convertible GT"/>
    <n v="16668"/>
    <m/>
  </r>
  <r>
    <x v="31"/>
    <s v="Convertible Cobra"/>
    <n v="1003"/>
    <m/>
  </r>
  <r>
    <x v="32"/>
    <s v="Coupe V6"/>
    <n v="61187"/>
    <m/>
  </r>
  <r>
    <x v="32"/>
    <s v="Coupe GT"/>
    <n v="31624"/>
    <m/>
  </r>
  <r>
    <x v="32"/>
    <s v="Convertible V6"/>
    <n v="15246"/>
    <m/>
  </r>
  <r>
    <x v="32"/>
    <s v="Convertible GT"/>
    <n v="17917"/>
    <m/>
  </r>
  <r>
    <x v="32"/>
    <s v="Convertible Cobra"/>
    <n v="2510"/>
    <m/>
  </r>
  <r>
    <x v="32"/>
    <s v="Coupe Cobra"/>
    <n v="7496"/>
    <m/>
  </r>
  <r>
    <x v="33"/>
    <s v="Coupe V6"/>
    <n v="56812"/>
    <m/>
  </r>
  <r>
    <x v="33"/>
    <s v="Coupe GT"/>
    <n v="18464"/>
    <m/>
  </r>
  <r>
    <x v="33"/>
    <s v="Convertible V6"/>
    <n v="11606"/>
    <m/>
  </r>
  <r>
    <x v="33"/>
    <s v="Convertible GT"/>
    <n v="11413"/>
    <m/>
  </r>
  <r>
    <x v="33"/>
    <s v="Convertible Cobra"/>
    <n v="3088"/>
    <m/>
  </r>
  <r>
    <x v="33"/>
    <s v="Coupe Cobra"/>
    <n v="6961"/>
    <m/>
  </r>
  <r>
    <x v="34"/>
    <s v="Coupe V6"/>
    <n v="99801"/>
    <m/>
  </r>
  <r>
    <x v="34"/>
    <s v="Coupe GT"/>
    <n v="28789"/>
    <m/>
  </r>
  <r>
    <x v="34"/>
    <s v="Convertible V6"/>
    <n v="21254"/>
    <m/>
  </r>
  <r>
    <x v="34"/>
    <s v="Convertible GT"/>
    <n v="17024"/>
    <m/>
  </r>
  <r>
    <x v="34"/>
    <s v="Convertible Cobra"/>
    <n v="3480"/>
    <m/>
  </r>
  <r>
    <x v="34"/>
    <s v="Coupe Cobra"/>
    <n v="5174"/>
    <m/>
  </r>
  <r>
    <x v="35"/>
    <s v="Coupe V6"/>
    <n v="73180"/>
    <m/>
  </r>
  <r>
    <x v="35"/>
    <s v="Coupe GT"/>
    <n v="17316"/>
    <m/>
  </r>
  <r>
    <x v="35"/>
    <s v="Coupe GT Anniversary"/>
    <n v="2318"/>
    <m/>
  </r>
  <r>
    <x v="35"/>
    <s v="Convertible V6"/>
    <n v="19299"/>
    <m/>
  </r>
  <r>
    <x v="35"/>
    <s v="Convertible GT"/>
    <n v="11389"/>
    <m/>
  </r>
  <r>
    <x v="35"/>
    <s v="Convertible GT Anniversary"/>
    <n v="2310"/>
    <m/>
  </r>
  <r>
    <x v="35"/>
    <s v="Convertible Cobra"/>
    <n v="4055"/>
    <m/>
  </r>
  <r>
    <x v="35"/>
    <s v="Coupe Cobra"/>
    <n v="4040"/>
    <m/>
  </r>
  <r>
    <x v="36"/>
    <s v="Coupe V6"/>
    <n v="121026"/>
    <m/>
  </r>
  <r>
    <x v="36"/>
    <s v="Coupe GT"/>
    <n v="32321"/>
    <m/>
  </r>
  <r>
    <x v="36"/>
    <s v="Convertible V6"/>
    <n v="41368"/>
    <m/>
  </r>
  <r>
    <x v="36"/>
    <s v="Convertible GT"/>
    <n v="20224"/>
    <m/>
  </r>
  <r>
    <x v="36"/>
    <s v="Coupe Cobra R"/>
    <n v="300"/>
    <m/>
  </r>
  <r>
    <x v="37"/>
    <s v="Coupe V6"/>
    <n v="75321"/>
    <m/>
  </r>
  <r>
    <x v="37"/>
    <s v="Coupe GT"/>
    <n v="26929"/>
    <m/>
  </r>
  <r>
    <x v="37"/>
    <s v="Coupe Bullitt GT"/>
    <n v="5582"/>
    <m/>
  </r>
  <r>
    <x v="37"/>
    <s v="Convertible V6"/>
    <n v="30399"/>
    <m/>
  </r>
  <r>
    <x v="37"/>
    <s v="Convertible GT"/>
    <n v="18336"/>
    <m/>
  </r>
  <r>
    <x v="37"/>
    <s v="Convertible Cobra"/>
    <n v="3384"/>
    <m/>
  </r>
  <r>
    <x v="37"/>
    <s v="Coupe Cobra"/>
    <n v="3867"/>
    <m/>
  </r>
  <r>
    <x v="38"/>
    <s v="Coupe V6"/>
    <n v="67090"/>
    <m/>
  </r>
  <r>
    <x v="38"/>
    <s v="Coupe GT"/>
    <n v="33093"/>
    <m/>
  </r>
  <r>
    <x v="38"/>
    <s v="Convertible V6"/>
    <n v="24747"/>
    <m/>
  </r>
  <r>
    <x v="38"/>
    <s v="Convertible GT"/>
    <n v="17717"/>
    <m/>
  </r>
  <r>
    <x v="38"/>
    <s v="Cobra Convertible"/>
    <n v="100"/>
    <s v="(all shipped to Australia)"/>
  </r>
  <r>
    <x v="39"/>
    <s v="Coupe V6"/>
    <n v="59943"/>
    <m/>
  </r>
  <r>
    <x v="39"/>
    <s v="Coupe GT"/>
    <n v="26238"/>
    <m/>
  </r>
  <r>
    <x v="39"/>
    <s v="Coupe 100th Anniversary"/>
    <n v="717"/>
    <m/>
  </r>
  <r>
    <x v="39"/>
    <s v="Coupe Mach 1"/>
    <n v="9652"/>
    <m/>
  </r>
  <r>
    <x v="39"/>
    <s v="Coupe Cobra"/>
    <n v="8394"/>
    <m/>
  </r>
  <r>
    <x v="39"/>
    <s v="Convertible V6"/>
    <n v="26500"/>
    <m/>
  </r>
  <r>
    <x v="39"/>
    <s v="Convertible GT"/>
    <n v="15518"/>
    <m/>
  </r>
  <r>
    <x v="39"/>
    <s v="Convertible 100th Anniversary"/>
    <n v="1323"/>
    <m/>
  </r>
  <r>
    <x v="39"/>
    <s v="Convertible Cobra"/>
    <n v="5082"/>
    <m/>
  </r>
  <r>
    <x v="40"/>
    <s v="Coupe V6"/>
    <n v="64484"/>
    <m/>
  </r>
  <r>
    <x v="40"/>
    <s v="Coupe GT"/>
    <n v="22724"/>
    <m/>
  </r>
  <r>
    <x v="40"/>
    <s v="Coupe Mach-1"/>
    <n v="7182"/>
    <m/>
  </r>
  <r>
    <x v="40"/>
    <s v="Convertible V6"/>
    <n v="28330"/>
    <m/>
  </r>
  <r>
    <x v="40"/>
    <s v="Convertible GT"/>
    <n v="13928"/>
    <m/>
  </r>
  <r>
    <x v="40"/>
    <s v="Cobra Coupe"/>
    <n v="3768"/>
    <m/>
  </r>
  <r>
    <x v="40"/>
    <s v="Cobra Convertible"/>
    <n v="1896"/>
    <m/>
  </r>
  <r>
    <x v="41"/>
    <s v="Coupe V6"/>
    <n v="70827"/>
    <m/>
  </r>
  <r>
    <x v="41"/>
    <s v="Coupe GT"/>
    <n v="47449"/>
    <m/>
  </r>
  <r>
    <x v="41"/>
    <s v="Convertible V6"/>
    <n v="28793"/>
    <m/>
  </r>
  <r>
    <x v="41"/>
    <s v="Convertible GT"/>
    <n v="13343"/>
    <m/>
  </r>
  <r>
    <x v="42"/>
    <s v="Coupe V6"/>
    <n v="64082"/>
    <m/>
  </r>
  <r>
    <x v="42"/>
    <s v="Coupe GT"/>
    <n v="56400"/>
    <m/>
  </r>
  <r>
    <x v="42"/>
    <s v="Convertible V6"/>
    <n v="23232"/>
    <m/>
  </r>
  <r>
    <x v="42"/>
    <s v="Convertible GT"/>
    <n v="22048"/>
    <m/>
  </r>
  <r>
    <x v="42"/>
    <s v="GT-H Coupe"/>
    <n v="500"/>
    <s v="(Hertz models)"/>
  </r>
  <r>
    <x v="43"/>
    <s v="Coupe V6"/>
    <n v="66049"/>
    <m/>
  </r>
  <r>
    <x v="43"/>
    <s v="Coupe GT"/>
    <n v="53516"/>
    <m/>
  </r>
  <r>
    <x v="43"/>
    <s v="Coupe Shelby GT/SC"/>
    <n v="100"/>
    <m/>
  </r>
  <r>
    <x v="43"/>
    <s v="Convertible V6"/>
    <n v="26931"/>
    <m/>
  </r>
  <r>
    <x v="43"/>
    <s v="Convertible GT"/>
    <n v="17057"/>
    <m/>
  </r>
  <r>
    <x v="43"/>
    <s v="Convertible Shelby GT-H"/>
    <n v="500"/>
    <m/>
  </r>
  <r>
    <x v="43"/>
    <s v="Coupe Shelby GT500"/>
    <n v="8162"/>
    <m/>
  </r>
  <r>
    <x v="43"/>
    <s v="Convertible Shelby GT500"/>
    <n v="2702"/>
    <m/>
  </r>
  <r>
    <x v="44"/>
    <s v="Coupe V6"/>
    <n v="38588"/>
    <m/>
  </r>
  <r>
    <x v="44"/>
    <s v="Coupe V6 Sally"/>
    <n v="969"/>
    <m/>
  </r>
  <r>
    <x v="44"/>
    <s v="Coupe GT"/>
    <n v="23733"/>
    <m/>
  </r>
  <r>
    <x v="44"/>
    <s v="Coupe GT California Special"/>
    <n v="4900"/>
    <m/>
  </r>
  <r>
    <x v="44"/>
    <s v="Coupe GT Bullitt"/>
    <n v="5773"/>
    <m/>
  </r>
  <r>
    <x v="44"/>
    <s v="Coupe Shelby GT"/>
    <n v="2600"/>
    <m/>
  </r>
  <r>
    <x v="44"/>
    <s v="Convertible V6"/>
    <n v="11596"/>
    <m/>
  </r>
  <r>
    <x v="44"/>
    <s v="Convertible V6 Sally"/>
    <n v="503"/>
    <m/>
  </r>
  <r>
    <x v="44"/>
    <s v="Convertible GT"/>
    <n v="10538"/>
    <m/>
  </r>
  <r>
    <x v="44"/>
    <s v="Coupe Shelby GT500"/>
    <n v="7501"/>
    <m/>
  </r>
  <r>
    <x v="44"/>
    <s v="Convertible Shelby GT500"/>
    <n v="2066"/>
    <m/>
  </r>
  <r>
    <x v="45"/>
    <s v="Coupe V6"/>
    <n v="19563"/>
    <m/>
  </r>
  <r>
    <x v="45"/>
    <s v="Coupe V6 Sally"/>
    <n v="438"/>
    <m/>
  </r>
  <r>
    <x v="45"/>
    <s v="Coupe GT"/>
    <n v="10852"/>
    <m/>
  </r>
  <r>
    <x v="45"/>
    <s v="Coupe GT Bullitt"/>
    <n v="810"/>
    <m/>
  </r>
  <r>
    <x v="45"/>
    <s v="Coupe GT California Special"/>
    <n v="1697"/>
    <m/>
  </r>
  <r>
    <x v="45"/>
    <s v="Convertible V6"/>
    <n v="5689"/>
    <m/>
  </r>
  <r>
    <x v="45"/>
    <s v="Convertible V6 Sally"/>
    <n v="55"/>
    <m/>
  </r>
  <r>
    <x v="45"/>
    <s v="Convertible GT"/>
    <n v="2142"/>
    <m/>
  </r>
  <r>
    <x v="45"/>
    <s v="Convertible GT California Special"/>
    <n v="921"/>
    <m/>
  </r>
  <r>
    <x v="45"/>
    <s v="Coupe Shelby GT500"/>
    <n v="2991"/>
    <m/>
  </r>
  <r>
    <x v="45"/>
    <s v="Coupe Shelby GT500KR"/>
    <n v="712"/>
    <m/>
  </r>
  <r>
    <x v="45"/>
    <s v="Convertible Shelby GT500"/>
    <n v="550"/>
    <m/>
  </r>
  <r>
    <x v="46"/>
    <s v="Coupe V6"/>
    <n v="0"/>
    <m/>
  </r>
  <r>
    <x v="46"/>
    <s v="Coupe GT"/>
    <n v="20851"/>
    <m/>
  </r>
  <r>
    <x v="46"/>
    <s v="Convertible V6"/>
    <n v="0"/>
    <m/>
  </r>
  <r>
    <x v="46"/>
    <s v="Convertible GT"/>
    <n v="0"/>
    <m/>
  </r>
  <r>
    <x v="46"/>
    <s v="Coupe Shelby GT500"/>
    <n v="3545"/>
    <m/>
  </r>
  <r>
    <x v="46"/>
    <s v="Convertible Shelby GT500"/>
    <n v="913"/>
    <m/>
  </r>
  <r>
    <x v="47"/>
    <s v="Coupe V6"/>
    <n v="27122"/>
    <m/>
  </r>
  <r>
    <x v="47"/>
    <s v="Coupe Mustang Club of America"/>
    <n v="435"/>
    <m/>
  </r>
  <r>
    <x v="47"/>
    <s v="Coupe GT"/>
    <n v="18804"/>
    <m/>
  </r>
  <r>
    <x v="47"/>
    <s v="Coupe GT California Special"/>
    <n v="2492"/>
    <m/>
  </r>
  <r>
    <x v="47"/>
    <s v="Convertible V6"/>
    <n v="9223"/>
    <m/>
  </r>
  <r>
    <x v="47"/>
    <s v="Convertible Mustang Club of America"/>
    <n v="422"/>
    <m/>
  </r>
  <r>
    <x v="47"/>
    <s v="Convertible GT"/>
    <n v="4526"/>
    <m/>
  </r>
  <r>
    <x v="47"/>
    <s v="Convertible GT California Special"/>
    <n v="600"/>
    <m/>
  </r>
  <r>
    <x v="47"/>
    <s v="Coupe Shelby GT350"/>
    <n v="1788"/>
    <m/>
  </r>
  <r>
    <x v="47"/>
    <s v="Coupe Shelby GT500"/>
    <n v="4094"/>
    <m/>
  </r>
  <r>
    <x v="47"/>
    <s v="Convertible Shelby GT500"/>
    <n v="932"/>
    <m/>
  </r>
  <r>
    <x v="48"/>
    <s v="Coupe V6"/>
    <n v="40908"/>
    <m/>
  </r>
  <r>
    <x v="48"/>
    <s v="Coupe Mustang Club of America"/>
    <m/>
    <s v="(incl. above)"/>
  </r>
  <r>
    <x v="48"/>
    <s v="Coupe GT"/>
    <n v="23947"/>
    <m/>
  </r>
  <r>
    <x v="48"/>
    <s v="Coupe GT California Special"/>
    <n v="1863"/>
    <s v="(incl. above)"/>
  </r>
  <r>
    <x v="48"/>
    <s v="Coupe Boss 302"/>
    <n v="3500"/>
    <m/>
  </r>
  <r>
    <x v="48"/>
    <s v="Coupe Boss Laguna Seca 302"/>
    <n v="500"/>
    <m/>
  </r>
  <r>
    <x v="48"/>
    <s v="Coupe Boss 302S"/>
    <n v="500"/>
    <m/>
  </r>
  <r>
    <x v="48"/>
    <s v="Coupe Boss 302R"/>
    <n v="50"/>
    <m/>
  </r>
  <r>
    <x v="48"/>
    <s v="Coupe Shelby GT350"/>
    <n v="0"/>
    <m/>
  </r>
  <r>
    <x v="48"/>
    <s v="Convertible V6"/>
    <n v="14337"/>
    <m/>
  </r>
  <r>
    <x v="48"/>
    <s v="Convertible GT"/>
    <n v="4066"/>
    <m/>
  </r>
  <r>
    <x v="48"/>
    <s v="Convertible GT California Special"/>
    <n v="710"/>
    <s v="(incl. above)"/>
  </r>
  <r>
    <x v="48"/>
    <s v="Convertible Shelby GT350"/>
    <n v="0"/>
    <m/>
  </r>
  <r>
    <x v="48"/>
    <s v="Coupe Shelby GT500"/>
    <n v="3910"/>
    <m/>
  </r>
  <r>
    <x v="48"/>
    <s v="Convertible Shelby GT500"/>
    <n v="896"/>
    <m/>
  </r>
  <r>
    <x v="48"/>
    <s v="Cobra Jet Coupe"/>
    <n v="50"/>
    <m/>
  </r>
  <r>
    <x v="49"/>
    <s v="Coupe V6"/>
    <n v="0"/>
    <m/>
  </r>
  <r>
    <x v="49"/>
    <s v="Coupe Mustang Club of America"/>
    <n v="0"/>
    <m/>
  </r>
  <r>
    <x v="49"/>
    <s v="Coupe GT"/>
    <n v="0"/>
    <m/>
  </r>
  <r>
    <x v="49"/>
    <s v="Coupe GT California Special"/>
    <n v="0"/>
    <m/>
  </r>
  <r>
    <x v="49"/>
    <s v="Coupe Boss 302"/>
    <n v="0"/>
    <m/>
  </r>
  <r>
    <x v="49"/>
    <s v="Coupe Boss Laguna Seca 302"/>
    <n v="0"/>
    <m/>
  </r>
  <r>
    <x v="49"/>
    <s v="Convertible V6"/>
    <n v="0"/>
    <m/>
  </r>
  <r>
    <x v="49"/>
    <s v="Convertible Mustang Club of America"/>
    <n v="0"/>
    <m/>
  </r>
  <r>
    <x v="49"/>
    <s v="Convertible GT"/>
    <n v="0"/>
    <m/>
  </r>
  <r>
    <x v="49"/>
    <s v="Coupe Shelby GT500"/>
    <n v="0"/>
    <m/>
  </r>
  <r>
    <x v="49"/>
    <s v="Convertible Shelby GT500"/>
    <n v="0"/>
    <m/>
  </r>
  <r>
    <x v="49"/>
    <s v="Cobra Jet Coupe"/>
    <n v="50"/>
    <m/>
  </r>
  <r>
    <x v="50"/>
    <s v="Coupe V6"/>
    <n v="0"/>
    <m/>
  </r>
  <r>
    <x v="50"/>
    <s v="Coupe GT"/>
    <n v="33246"/>
    <m/>
  </r>
  <r>
    <x v="50"/>
    <s v="Coupe Shelby GT350"/>
    <n v="45"/>
    <m/>
  </r>
  <r>
    <x v="50"/>
    <s v="Convertible V6"/>
    <n v="0"/>
    <m/>
  </r>
  <r>
    <x v="50"/>
    <s v="Convertible GT"/>
    <n v="7543"/>
    <m/>
  </r>
  <r>
    <x v="50"/>
    <s v="Convertible Shelby GT350"/>
    <n v="5"/>
    <m/>
  </r>
  <r>
    <x v="50"/>
    <s v="Coupe Shelby GT500"/>
    <n v="0"/>
    <m/>
  </r>
  <r>
    <x v="50"/>
    <s v="Convertible Shelby GT500"/>
    <n v="0"/>
    <m/>
  </r>
  <r>
    <x v="51"/>
    <s v="Fastback V6"/>
    <n v="0"/>
    <m/>
  </r>
  <r>
    <x v="51"/>
    <s v="Fastback GT"/>
    <n v="0"/>
    <m/>
  </r>
  <r>
    <x v="51"/>
    <s v="Convertible V6"/>
    <n v="0"/>
    <m/>
  </r>
  <r>
    <x v="51"/>
    <s v="Convertible GT"/>
    <n v="0"/>
    <m/>
  </r>
  <r>
    <x v="51"/>
    <s v="Fastback EcoBoost"/>
    <n v="0"/>
    <m/>
  </r>
  <r>
    <x v="51"/>
    <s v="Convertible EcoBoost"/>
    <n v="0"/>
    <m/>
  </r>
  <r>
    <x v="52"/>
    <s v="Fastback V6"/>
    <n v="0"/>
    <m/>
  </r>
  <r>
    <x v="52"/>
    <s v="Fastback GT"/>
    <n v="0"/>
    <m/>
  </r>
  <r>
    <x v="52"/>
    <s v="Convertible V6"/>
    <n v="0"/>
    <m/>
  </r>
  <r>
    <x v="52"/>
    <s v="Convertible GT"/>
    <n v="0"/>
    <m/>
  </r>
  <r>
    <x v="52"/>
    <s v="Fastback GT350"/>
    <n v="0"/>
    <m/>
  </r>
  <r>
    <x v="52"/>
    <s v="Fastback EcoBoost"/>
    <n v="0"/>
    <m/>
  </r>
  <r>
    <x v="52"/>
    <s v="Convertible EcoBoost"/>
    <n v="0"/>
    <m/>
  </r>
  <r>
    <x v="53"/>
    <s v="Fastback V6"/>
    <n v="0"/>
    <m/>
  </r>
  <r>
    <x v="53"/>
    <s v="Fastback GT"/>
    <n v="0"/>
    <m/>
  </r>
  <r>
    <x v="53"/>
    <s v="Convertible V6"/>
    <n v="0"/>
    <m/>
  </r>
  <r>
    <x v="53"/>
    <s v="Convertible GT"/>
    <n v="0"/>
    <m/>
  </r>
  <r>
    <x v="53"/>
    <s v="Fastback GT350"/>
    <n v="0"/>
    <m/>
  </r>
  <r>
    <x v="53"/>
    <s v="Fastback EcoBoost"/>
    <n v="0"/>
    <m/>
  </r>
  <r>
    <x v="53"/>
    <s v="Convertible EcoBoost"/>
    <n v="0"/>
    <m/>
  </r>
  <r>
    <x v="54"/>
    <s v="Fastback GT"/>
    <n v="0"/>
    <m/>
  </r>
  <r>
    <x v="54"/>
    <s v="Convertible GT"/>
    <n v="0"/>
    <m/>
  </r>
  <r>
    <x v="54"/>
    <s v="Fastback GT350"/>
    <n v="0"/>
    <m/>
  </r>
  <r>
    <x v="54"/>
    <s v="Fastback EcoBoost"/>
    <n v="0"/>
    <m/>
  </r>
  <r>
    <x v="54"/>
    <s v="Convertible EcoBoost"/>
    <n v="0"/>
    <m/>
  </r>
  <r>
    <x v="55"/>
    <s v="Fastback GT"/>
    <n v="0"/>
    <m/>
  </r>
  <r>
    <x v="55"/>
    <s v="Convertible GT"/>
    <n v="0"/>
    <m/>
  </r>
  <r>
    <x v="55"/>
    <s v="Fastback GT350"/>
    <n v="0"/>
    <m/>
  </r>
  <r>
    <x v="55"/>
    <s v="Fastback Bullitt"/>
    <n v="0"/>
    <m/>
  </r>
  <r>
    <x v="55"/>
    <s v="Fastback EcoBoost"/>
    <n v="0"/>
    <m/>
  </r>
  <r>
    <x v="55"/>
    <s v="Convertible EcoBoost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0347C-2684-4734-8D8A-B3E1A51414E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0" firstHeaderRow="1" firstDataRow="1" firstDataCol="1"/>
  <pivotFields count="4">
    <pivotField axis="axisRow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showAll="0"/>
    <pivotField dataField="1" showAll="0"/>
    <pivotField showAll="0"/>
  </pivotFields>
  <rowFields count="1">
    <field x="0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CF52D-65D4-4F4F-99D8-EE50D3D7186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3">
    <pivotField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AAEB-3504-4CCE-9A07-BEA3B338FE55}">
  <dimension ref="A1:C57"/>
  <sheetViews>
    <sheetView topLeftCell="A32" workbookViewId="0">
      <selection activeCell="B38" sqref="B38:B44"/>
    </sheetView>
  </sheetViews>
  <sheetFormatPr defaultRowHeight="14.4" x14ac:dyDescent="0.3"/>
  <cols>
    <col min="3" max="3" width="9.77734375" bestFit="1" customWidth="1"/>
  </cols>
  <sheetData>
    <row r="1" spans="1:3" x14ac:dyDescent="0.3">
      <c r="A1" t="s">
        <v>97</v>
      </c>
      <c r="B1" t="s">
        <v>98</v>
      </c>
      <c r="C1" t="s">
        <v>96</v>
      </c>
    </row>
    <row r="2" spans="1:3" x14ac:dyDescent="0.3">
      <c r="A2">
        <v>1967</v>
      </c>
      <c r="B2" s="1">
        <v>220906</v>
      </c>
      <c r="C2">
        <v>1</v>
      </c>
    </row>
    <row r="3" spans="1:3" x14ac:dyDescent="0.3">
      <c r="A3">
        <v>1968</v>
      </c>
      <c r="B3" s="1">
        <v>235147</v>
      </c>
      <c r="C3">
        <v>1</v>
      </c>
    </row>
    <row r="4" spans="1:3" x14ac:dyDescent="0.3">
      <c r="A4">
        <v>1969</v>
      </c>
      <c r="B4" s="1">
        <v>243085</v>
      </c>
      <c r="C4">
        <v>1</v>
      </c>
    </row>
    <row r="5" spans="1:3" x14ac:dyDescent="0.3">
      <c r="A5">
        <v>1970</v>
      </c>
      <c r="B5" s="1">
        <v>124901</v>
      </c>
      <c r="C5">
        <v>2</v>
      </c>
    </row>
    <row r="6" spans="1:3" x14ac:dyDescent="0.3">
      <c r="A6">
        <v>1971</v>
      </c>
      <c r="B6" s="1">
        <v>114630</v>
      </c>
      <c r="C6">
        <v>2</v>
      </c>
    </row>
    <row r="7" spans="1:3" x14ac:dyDescent="0.3">
      <c r="A7">
        <v>1972</v>
      </c>
      <c r="B7" s="1">
        <v>68651</v>
      </c>
      <c r="C7">
        <v>2</v>
      </c>
    </row>
    <row r="8" spans="1:3" x14ac:dyDescent="0.3">
      <c r="A8">
        <v>1973</v>
      </c>
      <c r="B8" s="1">
        <v>96571</v>
      </c>
      <c r="C8">
        <v>2</v>
      </c>
    </row>
    <row r="9" spans="1:3" x14ac:dyDescent="0.3">
      <c r="A9">
        <v>1974</v>
      </c>
      <c r="B9" s="1">
        <v>151008</v>
      </c>
      <c r="C9">
        <v>2</v>
      </c>
    </row>
    <row r="10" spans="1:3" x14ac:dyDescent="0.3">
      <c r="A10">
        <v>1975</v>
      </c>
      <c r="B10" s="1">
        <v>145770</v>
      </c>
      <c r="C10">
        <v>2</v>
      </c>
    </row>
    <row r="11" spans="1:3" x14ac:dyDescent="0.3">
      <c r="A11">
        <v>1976</v>
      </c>
      <c r="B11" s="1">
        <v>182959</v>
      </c>
      <c r="C11">
        <v>2</v>
      </c>
    </row>
    <row r="12" spans="1:3" x14ac:dyDescent="0.3">
      <c r="A12">
        <v>1977</v>
      </c>
      <c r="B12" s="1">
        <v>218853</v>
      </c>
      <c r="C12">
        <v>2</v>
      </c>
    </row>
    <row r="13" spans="1:3" x14ac:dyDescent="0.3">
      <c r="A13">
        <v>1978</v>
      </c>
      <c r="B13" s="1">
        <v>272631</v>
      </c>
      <c r="C13">
        <v>2</v>
      </c>
    </row>
    <row r="14" spans="1:3" x14ac:dyDescent="0.3">
      <c r="A14">
        <v>1979</v>
      </c>
      <c r="B14" s="1">
        <v>282571</v>
      </c>
      <c r="C14">
        <v>2</v>
      </c>
    </row>
    <row r="15" spans="1:3" x14ac:dyDescent="0.3">
      <c r="A15">
        <v>1980</v>
      </c>
      <c r="B15" s="1">
        <v>152005</v>
      </c>
      <c r="C15">
        <v>2</v>
      </c>
    </row>
    <row r="16" spans="1:3" x14ac:dyDescent="0.3">
      <c r="A16">
        <v>1981</v>
      </c>
      <c r="B16" s="1">
        <v>126139</v>
      </c>
      <c r="C16">
        <v>2</v>
      </c>
    </row>
    <row r="17" spans="1:3" x14ac:dyDescent="0.3">
      <c r="A17">
        <v>1982</v>
      </c>
      <c r="B17" s="1">
        <v>189747</v>
      </c>
      <c r="C17">
        <v>3</v>
      </c>
    </row>
    <row r="18" spans="1:3" x14ac:dyDescent="0.3">
      <c r="A18">
        <v>1983</v>
      </c>
      <c r="B18" s="1">
        <v>154381</v>
      </c>
      <c r="C18">
        <v>3</v>
      </c>
    </row>
    <row r="19" spans="1:3" x14ac:dyDescent="0.3">
      <c r="A19">
        <v>1984</v>
      </c>
      <c r="B19" s="1">
        <v>261591</v>
      </c>
      <c r="C19">
        <v>3</v>
      </c>
    </row>
    <row r="20" spans="1:3" x14ac:dyDescent="0.3">
      <c r="A20">
        <v>1985</v>
      </c>
      <c r="B20" s="1">
        <v>180018</v>
      </c>
      <c r="C20">
        <v>3</v>
      </c>
    </row>
    <row r="21" spans="1:3" x14ac:dyDescent="0.3">
      <c r="A21">
        <v>1986</v>
      </c>
      <c r="B21" s="1">
        <v>192219</v>
      </c>
      <c r="C21">
        <v>3</v>
      </c>
    </row>
    <row r="22" spans="1:3" x14ac:dyDescent="0.3">
      <c r="A22">
        <v>1987</v>
      </c>
      <c r="B22" s="1">
        <v>137760</v>
      </c>
      <c r="C22">
        <v>3</v>
      </c>
    </row>
    <row r="23" spans="1:3" x14ac:dyDescent="0.3">
      <c r="A23">
        <v>1988</v>
      </c>
      <c r="B23" s="1">
        <v>96275</v>
      </c>
      <c r="C23">
        <v>3</v>
      </c>
    </row>
    <row r="24" spans="1:3" x14ac:dyDescent="0.3">
      <c r="A24">
        <v>1989</v>
      </c>
      <c r="B24" s="1">
        <v>110739</v>
      </c>
      <c r="C24">
        <v>3</v>
      </c>
    </row>
    <row r="25" spans="1:3" x14ac:dyDescent="0.3">
      <c r="A25">
        <v>1990</v>
      </c>
      <c r="B25" s="1">
        <v>34986</v>
      </c>
      <c r="C25">
        <v>3</v>
      </c>
    </row>
    <row r="26" spans="1:3" x14ac:dyDescent="0.3">
      <c r="A26">
        <v>1991</v>
      </c>
      <c r="B26" s="1">
        <v>100838</v>
      </c>
      <c r="C26">
        <v>3</v>
      </c>
    </row>
    <row r="27" spans="1:3" x14ac:dyDescent="0.3">
      <c r="A27">
        <v>1992</v>
      </c>
      <c r="B27" s="1">
        <v>70007</v>
      </c>
      <c r="C27">
        <v>3</v>
      </c>
    </row>
    <row r="28" spans="1:3" x14ac:dyDescent="0.3">
      <c r="A28">
        <v>1993</v>
      </c>
      <c r="B28" s="1">
        <v>39103</v>
      </c>
      <c r="C28">
        <v>4</v>
      </c>
    </row>
    <row r="29" spans="1:3" x14ac:dyDescent="0.3">
      <c r="A29">
        <v>1994</v>
      </c>
      <c r="B29" s="1">
        <v>119799</v>
      </c>
      <c r="C29">
        <v>4</v>
      </c>
    </row>
    <row r="30" spans="1:3" x14ac:dyDescent="0.3">
      <c r="A30">
        <v>1995</v>
      </c>
      <c r="B30" s="1">
        <v>122738</v>
      </c>
      <c r="C30">
        <v>4</v>
      </c>
    </row>
    <row r="31" spans="1:3" x14ac:dyDescent="0.3">
      <c r="A31">
        <v>1996</v>
      </c>
      <c r="B31" s="1">
        <v>61362</v>
      </c>
      <c r="C31">
        <v>4</v>
      </c>
    </row>
    <row r="32" spans="1:3" x14ac:dyDescent="0.3">
      <c r="A32">
        <v>1997</v>
      </c>
      <c r="B32" s="1">
        <v>60202</v>
      </c>
      <c r="C32">
        <v>4</v>
      </c>
    </row>
    <row r="33" spans="1:3" x14ac:dyDescent="0.3">
      <c r="A33">
        <v>1998</v>
      </c>
      <c r="B33" s="1">
        <v>54026</v>
      </c>
      <c r="C33">
        <v>4</v>
      </c>
    </row>
    <row r="34" spans="1:3" x14ac:dyDescent="0.3">
      <c r="A34">
        <v>1999</v>
      </c>
      <c r="B34" s="1">
        <v>42098</v>
      </c>
      <c r="C34">
        <v>4</v>
      </c>
    </row>
    <row r="35" spans="1:3" x14ac:dyDescent="0.3">
      <c r="A35">
        <v>2000</v>
      </c>
      <c r="B35" s="1">
        <v>45461</v>
      </c>
      <c r="C35">
        <v>4</v>
      </c>
    </row>
    <row r="36" spans="1:3" x14ac:dyDescent="0.3">
      <c r="A36">
        <v>2001</v>
      </c>
      <c r="B36" s="1">
        <v>29009</v>
      </c>
      <c r="C36">
        <v>4</v>
      </c>
    </row>
    <row r="37" spans="1:3" x14ac:dyDescent="0.3">
      <c r="A37">
        <v>2002</v>
      </c>
      <c r="B37" s="1">
        <v>41776</v>
      </c>
      <c r="C37">
        <v>4</v>
      </c>
    </row>
    <row r="38" spans="1:3" x14ac:dyDescent="0.3">
      <c r="A38">
        <v>2003</v>
      </c>
      <c r="B38" s="1"/>
    </row>
    <row r="39" spans="1:3" x14ac:dyDescent="0.3">
      <c r="A39">
        <v>2004</v>
      </c>
      <c r="B39" s="1"/>
    </row>
    <row r="40" spans="1:3" x14ac:dyDescent="0.3">
      <c r="A40">
        <v>2005</v>
      </c>
      <c r="B40" s="1"/>
    </row>
    <row r="41" spans="1:3" x14ac:dyDescent="0.3">
      <c r="A41">
        <v>2006</v>
      </c>
      <c r="B41" s="1"/>
    </row>
    <row r="42" spans="1:3" x14ac:dyDescent="0.3">
      <c r="A42">
        <v>2007</v>
      </c>
      <c r="B42" s="1"/>
    </row>
    <row r="43" spans="1:3" x14ac:dyDescent="0.3">
      <c r="A43">
        <v>2008</v>
      </c>
      <c r="B43" s="1"/>
    </row>
    <row r="44" spans="1:3" x14ac:dyDescent="0.3">
      <c r="A44">
        <v>2009</v>
      </c>
      <c r="B44" s="1"/>
    </row>
    <row r="45" spans="1:3" x14ac:dyDescent="0.3">
      <c r="A45">
        <v>2010</v>
      </c>
      <c r="B45" s="1">
        <v>81299</v>
      </c>
      <c r="C45">
        <v>5</v>
      </c>
    </row>
    <row r="46" spans="1:3" x14ac:dyDescent="0.3">
      <c r="A46">
        <v>2011</v>
      </c>
      <c r="B46" s="1">
        <v>88249</v>
      </c>
      <c r="C46">
        <v>5</v>
      </c>
    </row>
    <row r="47" spans="1:3" x14ac:dyDescent="0.3">
      <c r="A47">
        <v>2012</v>
      </c>
      <c r="B47" s="1">
        <v>84391</v>
      </c>
      <c r="C47">
        <v>5</v>
      </c>
    </row>
    <row r="48" spans="1:3" x14ac:dyDescent="0.3">
      <c r="A48">
        <v>2013</v>
      </c>
      <c r="B48" s="1">
        <v>80567</v>
      </c>
      <c r="C48">
        <v>5</v>
      </c>
    </row>
    <row r="49" spans="1:3" x14ac:dyDescent="0.3">
      <c r="A49">
        <v>2014</v>
      </c>
      <c r="B49" s="1">
        <v>86297</v>
      </c>
      <c r="C49">
        <v>5</v>
      </c>
    </row>
    <row r="50" spans="1:3" x14ac:dyDescent="0.3">
      <c r="A50">
        <v>2015</v>
      </c>
      <c r="B50" s="1">
        <v>77502</v>
      </c>
      <c r="C50">
        <v>5</v>
      </c>
    </row>
    <row r="51" spans="1:3" x14ac:dyDescent="0.3">
      <c r="A51">
        <v>2016</v>
      </c>
      <c r="B51" s="1">
        <v>72705</v>
      </c>
      <c r="C51">
        <v>6</v>
      </c>
    </row>
    <row r="52" spans="1:3" x14ac:dyDescent="0.3">
      <c r="A52">
        <v>2017</v>
      </c>
      <c r="B52" s="1">
        <v>67940</v>
      </c>
      <c r="C52">
        <v>6</v>
      </c>
    </row>
    <row r="53" spans="1:3" x14ac:dyDescent="0.3">
      <c r="A53">
        <v>2018</v>
      </c>
      <c r="B53" s="1">
        <v>50963</v>
      </c>
      <c r="C53">
        <v>6</v>
      </c>
    </row>
    <row r="54" spans="1:3" x14ac:dyDescent="0.3">
      <c r="A54">
        <v>2019</v>
      </c>
      <c r="B54" s="1">
        <v>48265</v>
      </c>
      <c r="C54">
        <v>6</v>
      </c>
    </row>
    <row r="55" spans="1:3" x14ac:dyDescent="0.3">
      <c r="A55">
        <v>2020</v>
      </c>
      <c r="B55" s="1">
        <v>29775</v>
      </c>
      <c r="C55">
        <v>6</v>
      </c>
    </row>
    <row r="56" spans="1:3" x14ac:dyDescent="0.3">
      <c r="A56">
        <v>2021</v>
      </c>
      <c r="B56" s="1">
        <v>21893</v>
      </c>
      <c r="C56">
        <v>6</v>
      </c>
    </row>
    <row r="57" spans="1:3" x14ac:dyDescent="0.3">
      <c r="A57">
        <v>2022</v>
      </c>
      <c r="B57" s="1">
        <v>24652</v>
      </c>
      <c r="C57">
        <v>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7389-6311-4B09-A52C-DCA65CE5894C}">
  <dimension ref="A1:C60"/>
  <sheetViews>
    <sheetView topLeftCell="A37" workbookViewId="0">
      <selection activeCell="A3" sqref="A3"/>
    </sheetView>
  </sheetViews>
  <sheetFormatPr defaultRowHeight="14.4" x14ac:dyDescent="0.3"/>
  <cols>
    <col min="3" max="3" width="9.77734375" bestFit="1" customWidth="1"/>
  </cols>
  <sheetData>
    <row r="1" spans="1:3" x14ac:dyDescent="0.3">
      <c r="A1" t="s">
        <v>97</v>
      </c>
      <c r="B1" t="s">
        <v>98</v>
      </c>
      <c r="C1" t="s">
        <v>96</v>
      </c>
    </row>
    <row r="2" spans="1:3" x14ac:dyDescent="0.3">
      <c r="A2">
        <v>1964</v>
      </c>
      <c r="B2" s="1">
        <v>121538</v>
      </c>
      <c r="C2">
        <v>1</v>
      </c>
    </row>
    <row r="3" spans="1:3" x14ac:dyDescent="0.3">
      <c r="A3">
        <v>1965</v>
      </c>
      <c r="B3" s="1">
        <v>559451</v>
      </c>
      <c r="C3">
        <v>1</v>
      </c>
    </row>
    <row r="4" spans="1:3" x14ac:dyDescent="0.3">
      <c r="A4">
        <v>1966</v>
      </c>
      <c r="B4" s="1">
        <v>607568</v>
      </c>
      <c r="C4">
        <v>1</v>
      </c>
    </row>
    <row r="5" spans="1:3" x14ac:dyDescent="0.3">
      <c r="A5">
        <v>1967</v>
      </c>
      <c r="B5" s="1">
        <v>472121</v>
      </c>
      <c r="C5">
        <v>1</v>
      </c>
    </row>
    <row r="6" spans="1:3" x14ac:dyDescent="0.3">
      <c r="A6">
        <v>1968</v>
      </c>
      <c r="B6" s="1">
        <v>317404</v>
      </c>
      <c r="C6">
        <v>1</v>
      </c>
    </row>
    <row r="7" spans="1:3" x14ac:dyDescent="0.3">
      <c r="A7">
        <v>1969</v>
      </c>
      <c r="B7" s="1">
        <v>299824</v>
      </c>
      <c r="C7">
        <v>1</v>
      </c>
    </row>
    <row r="8" spans="1:3" x14ac:dyDescent="0.3">
      <c r="A8">
        <v>1970</v>
      </c>
      <c r="B8" s="1">
        <v>191239</v>
      </c>
      <c r="C8">
        <v>1</v>
      </c>
    </row>
    <row r="9" spans="1:3" x14ac:dyDescent="0.3">
      <c r="A9">
        <v>1971</v>
      </c>
      <c r="B9" s="1">
        <v>151484</v>
      </c>
      <c r="C9">
        <v>1</v>
      </c>
    </row>
    <row r="10" spans="1:3" x14ac:dyDescent="0.3">
      <c r="A10">
        <v>1972</v>
      </c>
      <c r="B10" s="1">
        <v>125813</v>
      </c>
      <c r="C10">
        <v>1</v>
      </c>
    </row>
    <row r="11" spans="1:3" x14ac:dyDescent="0.3">
      <c r="A11">
        <v>1973</v>
      </c>
      <c r="B11" s="1">
        <v>134817</v>
      </c>
      <c r="C11">
        <v>1</v>
      </c>
    </row>
    <row r="12" spans="1:3" x14ac:dyDescent="0.3">
      <c r="A12">
        <v>1974</v>
      </c>
      <c r="B12" s="1">
        <v>385993</v>
      </c>
      <c r="C12">
        <v>2</v>
      </c>
    </row>
    <row r="13" spans="1:3" x14ac:dyDescent="0.3">
      <c r="A13">
        <v>1975</v>
      </c>
      <c r="B13" s="1">
        <v>188575</v>
      </c>
      <c r="C13">
        <v>2</v>
      </c>
    </row>
    <row r="14" spans="1:3" x14ac:dyDescent="0.3">
      <c r="A14">
        <v>1976</v>
      </c>
      <c r="B14" s="1">
        <v>187567</v>
      </c>
      <c r="C14">
        <v>2</v>
      </c>
    </row>
    <row r="15" spans="1:3" x14ac:dyDescent="0.3">
      <c r="A15">
        <v>1977</v>
      </c>
      <c r="B15" s="1">
        <v>153173</v>
      </c>
      <c r="C15">
        <v>2</v>
      </c>
    </row>
    <row r="16" spans="1:3" x14ac:dyDescent="0.3">
      <c r="A16">
        <v>1978</v>
      </c>
      <c r="B16" s="1">
        <v>192410</v>
      </c>
      <c r="C16">
        <v>2</v>
      </c>
    </row>
    <row r="17" spans="1:3" x14ac:dyDescent="0.3">
      <c r="A17">
        <v>1979</v>
      </c>
      <c r="B17" s="1">
        <v>369936</v>
      </c>
      <c r="C17">
        <v>3</v>
      </c>
    </row>
    <row r="18" spans="1:3" x14ac:dyDescent="0.3">
      <c r="A18">
        <v>1980</v>
      </c>
      <c r="B18" s="1">
        <v>271322</v>
      </c>
      <c r="C18">
        <v>3</v>
      </c>
    </row>
    <row r="19" spans="1:3" x14ac:dyDescent="0.3">
      <c r="A19">
        <v>1981</v>
      </c>
      <c r="B19" s="1">
        <v>182552</v>
      </c>
      <c r="C19">
        <v>3</v>
      </c>
    </row>
    <row r="20" spans="1:3" x14ac:dyDescent="0.3">
      <c r="A20">
        <v>1982</v>
      </c>
      <c r="B20" s="1">
        <v>130418</v>
      </c>
      <c r="C20">
        <v>3</v>
      </c>
    </row>
    <row r="21" spans="1:3" x14ac:dyDescent="0.3">
      <c r="A21">
        <v>1983</v>
      </c>
      <c r="B21" s="1">
        <v>120873</v>
      </c>
      <c r="C21">
        <v>3</v>
      </c>
    </row>
    <row r="22" spans="1:3" x14ac:dyDescent="0.3">
      <c r="A22">
        <v>1984</v>
      </c>
      <c r="B22" s="1">
        <v>141480</v>
      </c>
      <c r="C22">
        <v>3</v>
      </c>
    </row>
    <row r="23" spans="1:3" x14ac:dyDescent="0.3">
      <c r="A23">
        <v>1985</v>
      </c>
      <c r="B23" s="1">
        <v>156514</v>
      </c>
      <c r="C23">
        <v>3</v>
      </c>
    </row>
    <row r="24" spans="1:3" x14ac:dyDescent="0.3">
      <c r="A24">
        <v>1986</v>
      </c>
      <c r="B24" s="1">
        <v>224410</v>
      </c>
      <c r="C24">
        <v>3</v>
      </c>
    </row>
    <row r="25" spans="1:3" x14ac:dyDescent="0.3">
      <c r="A25">
        <v>1987</v>
      </c>
      <c r="B25" s="1">
        <v>169772</v>
      </c>
      <c r="C25">
        <v>3</v>
      </c>
    </row>
    <row r="26" spans="1:3" x14ac:dyDescent="0.3">
      <c r="A26">
        <v>1988</v>
      </c>
      <c r="B26" s="1">
        <v>211225</v>
      </c>
      <c r="C26">
        <v>3</v>
      </c>
    </row>
    <row r="27" spans="1:3" x14ac:dyDescent="0.3">
      <c r="A27">
        <v>1989</v>
      </c>
      <c r="B27" s="1">
        <v>209769</v>
      </c>
      <c r="C27">
        <v>3</v>
      </c>
    </row>
    <row r="28" spans="1:3" x14ac:dyDescent="0.3">
      <c r="A28">
        <v>1990</v>
      </c>
      <c r="B28" s="1">
        <v>128189</v>
      </c>
      <c r="C28">
        <v>3</v>
      </c>
    </row>
    <row r="29" spans="1:3" x14ac:dyDescent="0.3">
      <c r="A29">
        <v>1991</v>
      </c>
      <c r="B29" s="1">
        <v>98737</v>
      </c>
      <c r="C29">
        <v>3</v>
      </c>
    </row>
    <row r="30" spans="1:3" x14ac:dyDescent="0.3">
      <c r="A30">
        <v>1992</v>
      </c>
      <c r="B30" s="1">
        <v>79280</v>
      </c>
      <c r="C30">
        <v>3</v>
      </c>
    </row>
    <row r="31" spans="1:3" x14ac:dyDescent="0.3">
      <c r="A31">
        <v>1993</v>
      </c>
      <c r="B31" s="1">
        <v>114335</v>
      </c>
      <c r="C31">
        <v>3</v>
      </c>
    </row>
    <row r="32" spans="1:3" x14ac:dyDescent="0.3">
      <c r="A32">
        <v>1994</v>
      </c>
      <c r="B32" s="1">
        <v>123198</v>
      </c>
      <c r="C32">
        <v>4</v>
      </c>
    </row>
    <row r="33" spans="1:3" x14ac:dyDescent="0.3">
      <c r="A33">
        <v>1995</v>
      </c>
      <c r="B33" s="1">
        <v>136962</v>
      </c>
      <c r="C33">
        <v>4</v>
      </c>
    </row>
    <row r="34" spans="1:3" x14ac:dyDescent="0.3">
      <c r="A34">
        <v>1996</v>
      </c>
      <c r="B34" s="1">
        <v>122674</v>
      </c>
      <c r="C34">
        <v>4</v>
      </c>
    </row>
    <row r="35" spans="1:3" x14ac:dyDescent="0.3">
      <c r="A35">
        <v>1997</v>
      </c>
      <c r="B35" s="1">
        <v>116610</v>
      </c>
      <c r="C35">
        <v>4</v>
      </c>
    </row>
    <row r="36" spans="1:3" x14ac:dyDescent="0.3">
      <c r="A36">
        <v>1998</v>
      </c>
      <c r="B36" s="1">
        <v>144732</v>
      </c>
      <c r="C36">
        <v>4</v>
      </c>
    </row>
    <row r="37" spans="1:3" x14ac:dyDescent="0.3">
      <c r="A37">
        <v>1999</v>
      </c>
      <c r="B37" s="1">
        <v>166915</v>
      </c>
      <c r="C37">
        <v>4</v>
      </c>
    </row>
    <row r="38" spans="1:3" x14ac:dyDescent="0.3">
      <c r="A38">
        <v>2000</v>
      </c>
      <c r="B38" s="1">
        <v>173676</v>
      </c>
      <c r="C38">
        <v>4</v>
      </c>
    </row>
    <row r="39" spans="1:3" x14ac:dyDescent="0.3">
      <c r="A39">
        <v>2001</v>
      </c>
      <c r="B39" s="1">
        <v>169198</v>
      </c>
      <c r="C39">
        <v>4</v>
      </c>
    </row>
    <row r="40" spans="1:3" x14ac:dyDescent="0.3">
      <c r="A40">
        <v>2002</v>
      </c>
      <c r="B40" s="1">
        <v>138356</v>
      </c>
      <c r="C40">
        <v>4</v>
      </c>
    </row>
    <row r="41" spans="1:3" x14ac:dyDescent="0.3">
      <c r="A41">
        <v>2003</v>
      </c>
      <c r="B41" s="1">
        <v>140350</v>
      </c>
      <c r="C41">
        <v>4</v>
      </c>
    </row>
    <row r="42" spans="1:3" x14ac:dyDescent="0.3">
      <c r="A42">
        <v>2004</v>
      </c>
      <c r="B42" s="1">
        <v>129858</v>
      </c>
      <c r="C42">
        <v>4</v>
      </c>
    </row>
    <row r="43" spans="1:3" x14ac:dyDescent="0.3">
      <c r="A43">
        <v>2005</v>
      </c>
      <c r="B43" s="1">
        <v>160975</v>
      </c>
      <c r="C43">
        <v>5</v>
      </c>
    </row>
    <row r="44" spans="1:3" x14ac:dyDescent="0.3">
      <c r="A44">
        <v>2006</v>
      </c>
      <c r="B44" s="1">
        <v>166530</v>
      </c>
      <c r="C44">
        <v>5</v>
      </c>
    </row>
    <row r="45" spans="1:3" x14ac:dyDescent="0.3">
      <c r="A45">
        <v>2007</v>
      </c>
      <c r="B45" s="1">
        <v>134626</v>
      </c>
      <c r="C45">
        <v>5</v>
      </c>
    </row>
    <row r="46" spans="1:3" x14ac:dyDescent="0.3">
      <c r="A46">
        <v>2008</v>
      </c>
      <c r="B46" s="1">
        <v>91251</v>
      </c>
      <c r="C46">
        <v>5</v>
      </c>
    </row>
    <row r="47" spans="1:3" x14ac:dyDescent="0.3">
      <c r="A47">
        <v>2009</v>
      </c>
      <c r="B47" s="1">
        <v>66623</v>
      </c>
      <c r="C47">
        <v>5</v>
      </c>
    </row>
    <row r="48" spans="1:3" x14ac:dyDescent="0.3">
      <c r="A48">
        <v>2010</v>
      </c>
      <c r="B48" s="1">
        <v>73716</v>
      </c>
      <c r="C48">
        <v>5</v>
      </c>
    </row>
    <row r="49" spans="1:3" x14ac:dyDescent="0.3">
      <c r="A49">
        <v>2011</v>
      </c>
      <c r="B49" s="1">
        <v>70438</v>
      </c>
      <c r="C49">
        <v>5</v>
      </c>
    </row>
    <row r="50" spans="1:3" x14ac:dyDescent="0.3">
      <c r="A50">
        <v>2012</v>
      </c>
      <c r="B50" s="1">
        <v>82995</v>
      </c>
      <c r="C50">
        <v>5</v>
      </c>
    </row>
    <row r="51" spans="1:3" x14ac:dyDescent="0.3">
      <c r="A51">
        <v>2013</v>
      </c>
      <c r="B51" s="1">
        <v>77186</v>
      </c>
      <c r="C51">
        <v>5</v>
      </c>
    </row>
    <row r="52" spans="1:3" x14ac:dyDescent="0.3">
      <c r="A52">
        <v>2014</v>
      </c>
      <c r="B52" s="1">
        <v>82635</v>
      </c>
      <c r="C52">
        <v>5</v>
      </c>
    </row>
    <row r="53" spans="1:3" x14ac:dyDescent="0.3">
      <c r="A53">
        <v>2015</v>
      </c>
      <c r="B53" s="1">
        <v>122349</v>
      </c>
      <c r="C53">
        <v>6</v>
      </c>
    </row>
    <row r="54" spans="1:3" x14ac:dyDescent="0.3">
      <c r="A54">
        <v>2016</v>
      </c>
      <c r="B54" s="1">
        <v>105932</v>
      </c>
      <c r="C54">
        <v>6</v>
      </c>
    </row>
    <row r="55" spans="1:3" x14ac:dyDescent="0.3">
      <c r="A55">
        <v>2017</v>
      </c>
      <c r="B55" s="1">
        <v>81866</v>
      </c>
      <c r="C55">
        <v>6</v>
      </c>
    </row>
    <row r="56" spans="1:3" x14ac:dyDescent="0.3">
      <c r="A56">
        <v>2018</v>
      </c>
      <c r="B56" s="1">
        <v>75842</v>
      </c>
      <c r="C56">
        <v>6</v>
      </c>
    </row>
    <row r="57" spans="1:3" x14ac:dyDescent="0.3">
      <c r="A57">
        <v>2019</v>
      </c>
      <c r="B57" s="1">
        <v>72489</v>
      </c>
      <c r="C57">
        <v>6</v>
      </c>
    </row>
    <row r="58" spans="1:3" x14ac:dyDescent="0.3">
      <c r="A58">
        <v>2020</v>
      </c>
      <c r="B58" s="1">
        <v>61090</v>
      </c>
      <c r="C58">
        <v>6</v>
      </c>
    </row>
    <row r="59" spans="1:3" x14ac:dyDescent="0.3">
      <c r="A59">
        <v>2021</v>
      </c>
      <c r="B59" s="1">
        <v>52414</v>
      </c>
      <c r="C59">
        <v>6</v>
      </c>
    </row>
    <row r="60" spans="1:3" x14ac:dyDescent="0.3">
      <c r="A60">
        <v>2022</v>
      </c>
      <c r="B60" s="1">
        <v>47566</v>
      </c>
      <c r="C60">
        <v>6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7287C-2FF8-47AA-B725-524A6675A728}">
  <dimension ref="A3:B60"/>
  <sheetViews>
    <sheetView workbookViewId="0">
      <selection activeCell="J4" sqref="J4"/>
    </sheetView>
  </sheetViews>
  <sheetFormatPr defaultRowHeight="14.4" x14ac:dyDescent="0.3"/>
  <cols>
    <col min="1" max="1" width="12.5546875" bestFit="1" customWidth="1"/>
    <col min="2" max="2" width="11.44140625" bestFit="1" customWidth="1"/>
  </cols>
  <sheetData>
    <row r="3" spans="1:2" x14ac:dyDescent="0.3">
      <c r="A3" s="2" t="s">
        <v>99</v>
      </c>
      <c r="B3" t="s">
        <v>101</v>
      </c>
    </row>
    <row r="4" spans="1:2" x14ac:dyDescent="0.3">
      <c r="A4" s="3">
        <v>1964</v>
      </c>
      <c r="B4">
        <v>121538</v>
      </c>
    </row>
    <row r="5" spans="1:2" x14ac:dyDescent="0.3">
      <c r="A5" s="3">
        <v>1965</v>
      </c>
      <c r="B5">
        <v>560488</v>
      </c>
    </row>
    <row r="6" spans="1:2" x14ac:dyDescent="0.3">
      <c r="A6" s="3">
        <v>1966</v>
      </c>
      <c r="B6">
        <v>530233</v>
      </c>
    </row>
    <row r="7" spans="1:2" x14ac:dyDescent="0.3">
      <c r="A7" s="3">
        <v>1967</v>
      </c>
      <c r="B7">
        <v>472121</v>
      </c>
    </row>
    <row r="8" spans="1:2" x14ac:dyDescent="0.3">
      <c r="A8" s="3">
        <v>1968</v>
      </c>
      <c r="B8">
        <v>317404</v>
      </c>
    </row>
    <row r="9" spans="1:2" x14ac:dyDescent="0.3">
      <c r="A9" s="3">
        <v>1969</v>
      </c>
      <c r="B9">
        <v>299826</v>
      </c>
    </row>
    <row r="10" spans="1:2" x14ac:dyDescent="0.3">
      <c r="A10" s="3">
        <v>1970</v>
      </c>
      <c r="B10">
        <v>190727</v>
      </c>
    </row>
    <row r="11" spans="1:2" x14ac:dyDescent="0.3">
      <c r="A11" s="3">
        <v>1971</v>
      </c>
      <c r="B11">
        <v>149678</v>
      </c>
    </row>
    <row r="12" spans="1:2" x14ac:dyDescent="0.3">
      <c r="A12" s="3">
        <v>1972</v>
      </c>
      <c r="B12">
        <v>125093</v>
      </c>
    </row>
    <row r="13" spans="1:2" x14ac:dyDescent="0.3">
      <c r="A13" s="3">
        <v>1973</v>
      </c>
      <c r="B13">
        <v>134867</v>
      </c>
    </row>
    <row r="14" spans="1:2" x14ac:dyDescent="0.3">
      <c r="A14" s="3">
        <v>1974</v>
      </c>
      <c r="B14">
        <v>385993</v>
      </c>
    </row>
    <row r="15" spans="1:2" x14ac:dyDescent="0.3">
      <c r="A15" s="3">
        <v>1975</v>
      </c>
      <c r="B15">
        <v>187575</v>
      </c>
    </row>
    <row r="16" spans="1:2" x14ac:dyDescent="0.3">
      <c r="A16" s="3">
        <v>1976</v>
      </c>
      <c r="B16">
        <v>188567</v>
      </c>
    </row>
    <row r="17" spans="1:2" x14ac:dyDescent="0.3">
      <c r="A17" s="3">
        <v>1977</v>
      </c>
      <c r="B17">
        <v>153173</v>
      </c>
    </row>
    <row r="18" spans="1:2" x14ac:dyDescent="0.3">
      <c r="A18" s="3">
        <v>1978</v>
      </c>
      <c r="B18">
        <v>192410</v>
      </c>
    </row>
    <row r="19" spans="1:2" x14ac:dyDescent="0.3">
      <c r="A19" s="3">
        <v>1979</v>
      </c>
      <c r="B19">
        <v>369936</v>
      </c>
    </row>
    <row r="20" spans="1:2" x14ac:dyDescent="0.3">
      <c r="A20" s="3">
        <v>1980</v>
      </c>
      <c r="B20">
        <v>271322</v>
      </c>
    </row>
    <row r="21" spans="1:2" x14ac:dyDescent="0.3">
      <c r="A21" s="3">
        <v>1981</v>
      </c>
      <c r="B21">
        <v>182552</v>
      </c>
    </row>
    <row r="22" spans="1:2" x14ac:dyDescent="0.3">
      <c r="A22" s="3">
        <v>1982</v>
      </c>
      <c r="B22">
        <v>130418</v>
      </c>
    </row>
    <row r="23" spans="1:2" x14ac:dyDescent="0.3">
      <c r="A23" s="3">
        <v>1983</v>
      </c>
      <c r="B23">
        <v>120873</v>
      </c>
    </row>
    <row r="24" spans="1:2" x14ac:dyDescent="0.3">
      <c r="A24" s="3">
        <v>1984</v>
      </c>
      <c r="B24">
        <v>137480</v>
      </c>
    </row>
    <row r="25" spans="1:2" x14ac:dyDescent="0.3">
      <c r="A25" s="3">
        <v>1985</v>
      </c>
      <c r="B25">
        <v>156514</v>
      </c>
    </row>
    <row r="26" spans="1:2" x14ac:dyDescent="0.3">
      <c r="A26" s="3">
        <v>1986</v>
      </c>
      <c r="B26">
        <v>224217</v>
      </c>
    </row>
    <row r="27" spans="1:2" x14ac:dyDescent="0.3">
      <c r="A27" s="3">
        <v>1987</v>
      </c>
      <c r="B27">
        <v>169772</v>
      </c>
    </row>
    <row r="28" spans="1:2" x14ac:dyDescent="0.3">
      <c r="A28" s="3">
        <v>1988</v>
      </c>
      <c r="B28">
        <v>211225</v>
      </c>
    </row>
    <row r="29" spans="1:2" x14ac:dyDescent="0.3">
      <c r="A29" s="3">
        <v>1989</v>
      </c>
      <c r="B29">
        <v>209769</v>
      </c>
    </row>
    <row r="30" spans="1:2" x14ac:dyDescent="0.3">
      <c r="A30" s="3">
        <v>1990</v>
      </c>
      <c r="B30">
        <v>128189</v>
      </c>
    </row>
    <row r="31" spans="1:2" x14ac:dyDescent="0.3">
      <c r="A31" s="3">
        <v>1991</v>
      </c>
      <c r="B31">
        <v>98737</v>
      </c>
    </row>
    <row r="32" spans="1:2" x14ac:dyDescent="0.3">
      <c r="A32" s="3">
        <v>1992</v>
      </c>
      <c r="B32">
        <v>79280</v>
      </c>
    </row>
    <row r="33" spans="1:2" x14ac:dyDescent="0.3">
      <c r="A33" s="3">
        <v>1993</v>
      </c>
      <c r="B33">
        <v>114228</v>
      </c>
    </row>
    <row r="34" spans="1:2" x14ac:dyDescent="0.3">
      <c r="A34" s="3">
        <v>1994</v>
      </c>
      <c r="B34">
        <v>123198</v>
      </c>
    </row>
    <row r="35" spans="1:2" x14ac:dyDescent="0.3">
      <c r="A35" s="3">
        <v>1995</v>
      </c>
      <c r="B35">
        <v>185986</v>
      </c>
    </row>
    <row r="36" spans="1:2" x14ac:dyDescent="0.3">
      <c r="A36" s="3">
        <v>1996</v>
      </c>
      <c r="B36">
        <v>135980</v>
      </c>
    </row>
    <row r="37" spans="1:2" x14ac:dyDescent="0.3">
      <c r="A37" s="3">
        <v>1997</v>
      </c>
      <c r="B37">
        <v>108344</v>
      </c>
    </row>
    <row r="38" spans="1:2" x14ac:dyDescent="0.3">
      <c r="A38" s="3">
        <v>1998</v>
      </c>
      <c r="B38">
        <v>175522</v>
      </c>
    </row>
    <row r="39" spans="1:2" x14ac:dyDescent="0.3">
      <c r="A39" s="3">
        <v>1999</v>
      </c>
      <c r="B39">
        <v>133907</v>
      </c>
    </row>
    <row r="40" spans="1:2" x14ac:dyDescent="0.3">
      <c r="A40" s="3">
        <v>2000</v>
      </c>
      <c r="B40">
        <v>215239</v>
      </c>
    </row>
    <row r="41" spans="1:2" x14ac:dyDescent="0.3">
      <c r="A41" s="3">
        <v>2001</v>
      </c>
      <c r="B41">
        <v>163818</v>
      </c>
    </row>
    <row r="42" spans="1:2" x14ac:dyDescent="0.3">
      <c r="A42" s="3">
        <v>2002</v>
      </c>
      <c r="B42">
        <v>142747</v>
      </c>
    </row>
    <row r="43" spans="1:2" x14ac:dyDescent="0.3">
      <c r="A43" s="3">
        <v>2003</v>
      </c>
      <c r="B43">
        <v>153367</v>
      </c>
    </row>
    <row r="44" spans="1:2" x14ac:dyDescent="0.3">
      <c r="A44" s="3">
        <v>2004</v>
      </c>
      <c r="B44">
        <v>142312</v>
      </c>
    </row>
    <row r="45" spans="1:2" x14ac:dyDescent="0.3">
      <c r="A45" s="3">
        <v>2005</v>
      </c>
      <c r="B45">
        <v>160412</v>
      </c>
    </row>
    <row r="46" spans="1:2" x14ac:dyDescent="0.3">
      <c r="A46" s="3">
        <v>2006</v>
      </c>
      <c r="B46">
        <v>166262</v>
      </c>
    </row>
    <row r="47" spans="1:2" x14ac:dyDescent="0.3">
      <c r="A47" s="3">
        <v>2007</v>
      </c>
      <c r="B47">
        <v>175017</v>
      </c>
    </row>
    <row r="48" spans="1:2" x14ac:dyDescent="0.3">
      <c r="A48" s="3">
        <v>2008</v>
      </c>
      <c r="B48">
        <v>108767</v>
      </c>
    </row>
    <row r="49" spans="1:2" x14ac:dyDescent="0.3">
      <c r="A49" s="3">
        <v>2009</v>
      </c>
      <c r="B49">
        <v>46420</v>
      </c>
    </row>
    <row r="50" spans="1:2" x14ac:dyDescent="0.3">
      <c r="A50" s="3">
        <v>2010</v>
      </c>
      <c r="B50">
        <v>25309</v>
      </c>
    </row>
    <row r="51" spans="1:2" x14ac:dyDescent="0.3">
      <c r="A51" s="3">
        <v>2011</v>
      </c>
      <c r="B51">
        <v>70438</v>
      </c>
    </row>
    <row r="52" spans="1:2" x14ac:dyDescent="0.3">
      <c r="A52" s="3">
        <v>2012</v>
      </c>
      <c r="B52">
        <v>95237</v>
      </c>
    </row>
    <row r="53" spans="1:2" x14ac:dyDescent="0.3">
      <c r="A53" s="3">
        <v>2013</v>
      </c>
      <c r="B53">
        <v>50</v>
      </c>
    </row>
    <row r="54" spans="1:2" x14ac:dyDescent="0.3">
      <c r="A54" s="3">
        <v>2014</v>
      </c>
      <c r="B54">
        <v>40839</v>
      </c>
    </row>
    <row r="55" spans="1:2" x14ac:dyDescent="0.3">
      <c r="A55" s="3">
        <v>2015</v>
      </c>
      <c r="B55">
        <v>0</v>
      </c>
    </row>
    <row r="56" spans="1:2" x14ac:dyDescent="0.3">
      <c r="A56" s="3">
        <v>2016</v>
      </c>
      <c r="B56">
        <v>0</v>
      </c>
    </row>
    <row r="57" spans="1:2" x14ac:dyDescent="0.3">
      <c r="A57" s="3">
        <v>2017</v>
      </c>
      <c r="B57">
        <v>0</v>
      </c>
    </row>
    <row r="58" spans="1:2" x14ac:dyDescent="0.3">
      <c r="A58" s="3">
        <v>2018</v>
      </c>
      <c r="B58">
        <v>0</v>
      </c>
    </row>
    <row r="59" spans="1:2" x14ac:dyDescent="0.3">
      <c r="A59" s="3">
        <v>2019</v>
      </c>
      <c r="B59">
        <v>0</v>
      </c>
    </row>
    <row r="60" spans="1:2" x14ac:dyDescent="0.3">
      <c r="A60" s="3" t="s">
        <v>100</v>
      </c>
      <c r="B60">
        <v>9183376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6825-C4D1-4B7C-B631-8638BFF19333}">
  <dimension ref="A1:D334"/>
  <sheetViews>
    <sheetView tabSelected="1" topLeftCell="A129" workbookViewId="0">
      <selection activeCell="B73" sqref="B73"/>
    </sheetView>
  </sheetViews>
  <sheetFormatPr defaultRowHeight="14.4" x14ac:dyDescent="0.3"/>
  <cols>
    <col min="2" max="2" width="31.6640625" bestFit="1" customWidth="1"/>
  </cols>
  <sheetData>
    <row r="1" spans="1:4" x14ac:dyDescent="0.3">
      <c r="A1" t="s">
        <v>97</v>
      </c>
      <c r="B1" t="s">
        <v>102</v>
      </c>
      <c r="C1" t="s">
        <v>98</v>
      </c>
      <c r="D1" t="s">
        <v>103</v>
      </c>
    </row>
    <row r="2" spans="1:4" x14ac:dyDescent="0.3">
      <c r="A2">
        <v>1964</v>
      </c>
      <c r="B2" t="s">
        <v>1</v>
      </c>
      <c r="C2" s="1">
        <v>92705</v>
      </c>
    </row>
    <row r="3" spans="1:4" x14ac:dyDescent="0.3">
      <c r="A3">
        <v>1964</v>
      </c>
      <c r="B3" t="s">
        <v>2</v>
      </c>
      <c r="C3" s="1">
        <v>28833</v>
      </c>
    </row>
    <row r="4" spans="1:4" x14ac:dyDescent="0.3">
      <c r="A4">
        <v>1965</v>
      </c>
      <c r="B4" t="s">
        <v>1</v>
      </c>
      <c r="C4" s="1">
        <v>410260</v>
      </c>
    </row>
    <row r="5" spans="1:4" x14ac:dyDescent="0.3">
      <c r="A5">
        <v>1965</v>
      </c>
      <c r="B5" t="s">
        <v>2</v>
      </c>
      <c r="C5" s="1">
        <v>73149</v>
      </c>
    </row>
    <row r="6" spans="1:4" x14ac:dyDescent="0.3">
      <c r="A6">
        <v>1965</v>
      </c>
      <c r="B6" t="s">
        <v>3</v>
      </c>
      <c r="C6" s="1">
        <v>77079</v>
      </c>
    </row>
    <row r="7" spans="1:4" x14ac:dyDescent="0.3">
      <c r="A7">
        <v>1966</v>
      </c>
      <c r="B7" t="s">
        <v>1</v>
      </c>
      <c r="C7" s="1">
        <v>422416</v>
      </c>
    </row>
    <row r="8" spans="1:4" x14ac:dyDescent="0.3">
      <c r="A8">
        <v>1966</v>
      </c>
      <c r="B8" t="s">
        <v>3</v>
      </c>
      <c r="C8" s="1">
        <v>35698</v>
      </c>
    </row>
    <row r="9" spans="1:4" x14ac:dyDescent="0.3">
      <c r="A9">
        <v>1966</v>
      </c>
      <c r="B9" t="s">
        <v>2</v>
      </c>
      <c r="C9" s="1">
        <v>72119</v>
      </c>
    </row>
    <row r="10" spans="1:4" x14ac:dyDescent="0.3">
      <c r="A10">
        <v>1967</v>
      </c>
      <c r="B10" t="s">
        <v>1</v>
      </c>
      <c r="C10" s="1">
        <v>356271</v>
      </c>
    </row>
    <row r="11" spans="1:4" x14ac:dyDescent="0.3">
      <c r="A11">
        <v>1967</v>
      </c>
      <c r="B11" t="s">
        <v>3</v>
      </c>
      <c r="C11" s="1">
        <v>71042</v>
      </c>
    </row>
    <row r="12" spans="1:4" x14ac:dyDescent="0.3">
      <c r="A12">
        <v>1967</v>
      </c>
      <c r="B12" t="s">
        <v>2</v>
      </c>
      <c r="C12" s="1">
        <v>44808</v>
      </c>
    </row>
    <row r="13" spans="1:4" x14ac:dyDescent="0.3">
      <c r="A13">
        <v>1968</v>
      </c>
      <c r="B13" t="s">
        <v>1</v>
      </c>
      <c r="C13" s="1">
        <v>249447</v>
      </c>
    </row>
    <row r="14" spans="1:4" x14ac:dyDescent="0.3">
      <c r="A14">
        <v>1968</v>
      </c>
      <c r="B14" t="s">
        <v>3</v>
      </c>
      <c r="C14" s="1">
        <v>42581</v>
      </c>
    </row>
    <row r="15" spans="1:4" x14ac:dyDescent="0.3">
      <c r="A15">
        <v>1968</v>
      </c>
      <c r="B15" t="s">
        <v>2</v>
      </c>
      <c r="C15" s="1">
        <v>25376</v>
      </c>
    </row>
    <row r="16" spans="1:4" x14ac:dyDescent="0.3">
      <c r="A16">
        <v>1969</v>
      </c>
      <c r="B16" t="s">
        <v>1</v>
      </c>
      <c r="C16" s="1">
        <v>128458</v>
      </c>
    </row>
    <row r="17" spans="1:3" x14ac:dyDescent="0.3">
      <c r="A17">
        <v>1969</v>
      </c>
      <c r="B17" t="s">
        <v>4</v>
      </c>
      <c r="C17" s="1">
        <v>22182</v>
      </c>
    </row>
    <row r="18" spans="1:3" x14ac:dyDescent="0.3">
      <c r="A18">
        <v>1969</v>
      </c>
      <c r="B18" t="s">
        <v>3</v>
      </c>
      <c r="C18" s="1">
        <v>59495</v>
      </c>
    </row>
    <row r="19" spans="1:3" x14ac:dyDescent="0.3">
      <c r="A19">
        <v>1969</v>
      </c>
      <c r="B19" t="s">
        <v>5</v>
      </c>
      <c r="C19" s="1">
        <v>1628</v>
      </c>
    </row>
    <row r="20" spans="1:3" x14ac:dyDescent="0.3">
      <c r="A20">
        <v>1969</v>
      </c>
      <c r="B20" t="s">
        <v>6</v>
      </c>
      <c r="C20">
        <v>859</v>
      </c>
    </row>
    <row r="21" spans="1:3" x14ac:dyDescent="0.3">
      <c r="A21">
        <v>1969</v>
      </c>
      <c r="B21" t="s">
        <v>7</v>
      </c>
      <c r="C21" s="1">
        <v>72458</v>
      </c>
    </row>
    <row r="22" spans="1:3" x14ac:dyDescent="0.3">
      <c r="A22">
        <v>1969</v>
      </c>
      <c r="B22" t="s">
        <v>2</v>
      </c>
      <c r="C22" s="1">
        <v>14746</v>
      </c>
    </row>
    <row r="23" spans="1:3" x14ac:dyDescent="0.3">
      <c r="A23">
        <v>1970</v>
      </c>
      <c r="B23" t="s">
        <v>1</v>
      </c>
      <c r="C23" s="1">
        <v>82569</v>
      </c>
    </row>
    <row r="24" spans="1:3" x14ac:dyDescent="0.3">
      <c r="A24">
        <v>1970</v>
      </c>
      <c r="B24" t="s">
        <v>3</v>
      </c>
      <c r="C24" s="1">
        <v>38422</v>
      </c>
    </row>
    <row r="25" spans="1:3" x14ac:dyDescent="0.3">
      <c r="A25">
        <v>1970</v>
      </c>
      <c r="B25" t="s">
        <v>5</v>
      </c>
      <c r="C25" s="1">
        <v>7013</v>
      </c>
    </row>
    <row r="26" spans="1:3" x14ac:dyDescent="0.3">
      <c r="A26">
        <v>1970</v>
      </c>
      <c r="B26" t="s">
        <v>6</v>
      </c>
      <c r="C26">
        <v>499</v>
      </c>
    </row>
    <row r="27" spans="1:3" x14ac:dyDescent="0.3">
      <c r="A27">
        <v>1970</v>
      </c>
      <c r="B27" t="s">
        <v>4</v>
      </c>
      <c r="C27" s="1">
        <v>13581</v>
      </c>
    </row>
    <row r="28" spans="1:3" x14ac:dyDescent="0.3">
      <c r="A28">
        <v>1970</v>
      </c>
      <c r="B28" t="s">
        <v>7</v>
      </c>
      <c r="C28" s="1">
        <v>40970</v>
      </c>
    </row>
    <row r="29" spans="1:3" x14ac:dyDescent="0.3">
      <c r="A29">
        <v>1970</v>
      </c>
      <c r="B29" t="s">
        <v>2</v>
      </c>
      <c r="C29" s="1">
        <v>7673</v>
      </c>
    </row>
    <row r="30" spans="1:3" x14ac:dyDescent="0.3">
      <c r="A30">
        <v>1971</v>
      </c>
      <c r="B30" t="s">
        <v>1</v>
      </c>
      <c r="C30" s="1">
        <v>65696</v>
      </c>
    </row>
    <row r="31" spans="1:3" x14ac:dyDescent="0.3">
      <c r="A31">
        <v>1971</v>
      </c>
      <c r="B31" t="s">
        <v>4</v>
      </c>
      <c r="C31" s="1">
        <v>17406</v>
      </c>
    </row>
    <row r="32" spans="1:3" x14ac:dyDescent="0.3">
      <c r="A32">
        <v>1971</v>
      </c>
      <c r="B32" t="s">
        <v>3</v>
      </c>
      <c r="C32" s="1">
        <v>22150</v>
      </c>
    </row>
    <row r="33" spans="1:3" x14ac:dyDescent="0.3">
      <c r="A33">
        <v>1971</v>
      </c>
      <c r="B33" t="s">
        <v>8</v>
      </c>
      <c r="C33" s="1">
        <v>1806</v>
      </c>
    </row>
    <row r="34" spans="1:3" x14ac:dyDescent="0.3">
      <c r="A34">
        <v>1971</v>
      </c>
      <c r="B34" t="s">
        <v>7</v>
      </c>
      <c r="C34" s="1">
        <v>36499</v>
      </c>
    </row>
    <row r="35" spans="1:3" x14ac:dyDescent="0.3">
      <c r="A35">
        <v>1971</v>
      </c>
      <c r="B35" t="s">
        <v>2</v>
      </c>
      <c r="C35" s="1">
        <v>6121</v>
      </c>
    </row>
    <row r="36" spans="1:3" x14ac:dyDescent="0.3">
      <c r="A36">
        <v>1972</v>
      </c>
      <c r="B36" t="s">
        <v>1</v>
      </c>
      <c r="C36" s="1">
        <v>57350</v>
      </c>
    </row>
    <row r="37" spans="1:3" x14ac:dyDescent="0.3">
      <c r="A37">
        <v>1972</v>
      </c>
      <c r="B37" t="s">
        <v>4</v>
      </c>
      <c r="C37" s="1">
        <v>18045</v>
      </c>
    </row>
    <row r="38" spans="1:3" x14ac:dyDescent="0.3">
      <c r="A38">
        <v>1972</v>
      </c>
      <c r="B38" t="s">
        <v>3</v>
      </c>
      <c r="C38" s="1">
        <v>15622</v>
      </c>
    </row>
    <row r="39" spans="1:3" x14ac:dyDescent="0.3">
      <c r="A39">
        <v>1972</v>
      </c>
      <c r="B39" t="s">
        <v>7</v>
      </c>
      <c r="C39" s="1">
        <v>27675</v>
      </c>
    </row>
    <row r="40" spans="1:3" x14ac:dyDescent="0.3">
      <c r="A40">
        <v>1972</v>
      </c>
      <c r="B40" t="s">
        <v>2</v>
      </c>
      <c r="C40" s="1">
        <v>6401</v>
      </c>
    </row>
    <row r="41" spans="1:3" x14ac:dyDescent="0.3">
      <c r="A41">
        <v>1973</v>
      </c>
      <c r="B41" t="s">
        <v>1</v>
      </c>
      <c r="C41" s="1">
        <v>51480</v>
      </c>
    </row>
    <row r="42" spans="1:3" x14ac:dyDescent="0.3">
      <c r="A42">
        <v>1973</v>
      </c>
      <c r="B42" t="s">
        <v>4</v>
      </c>
      <c r="C42" s="1">
        <v>25274</v>
      </c>
    </row>
    <row r="43" spans="1:3" x14ac:dyDescent="0.3">
      <c r="A43">
        <v>1973</v>
      </c>
      <c r="B43" t="s">
        <v>3</v>
      </c>
      <c r="C43" s="1">
        <v>10820</v>
      </c>
    </row>
    <row r="44" spans="1:3" x14ac:dyDescent="0.3">
      <c r="A44">
        <v>1973</v>
      </c>
      <c r="B44" t="s">
        <v>7</v>
      </c>
      <c r="C44" s="1">
        <v>35440</v>
      </c>
    </row>
    <row r="45" spans="1:3" x14ac:dyDescent="0.3">
      <c r="A45">
        <v>1973</v>
      </c>
      <c r="B45" t="s">
        <v>2</v>
      </c>
      <c r="C45" s="1">
        <v>11853</v>
      </c>
    </row>
    <row r="46" spans="1:3" x14ac:dyDescent="0.3">
      <c r="A46">
        <v>1974</v>
      </c>
      <c r="B46" t="s">
        <v>9</v>
      </c>
      <c r="C46" s="1">
        <v>177671</v>
      </c>
    </row>
    <row r="47" spans="1:3" x14ac:dyDescent="0.3">
      <c r="A47">
        <v>1974</v>
      </c>
      <c r="B47" t="s">
        <v>10</v>
      </c>
      <c r="C47" s="1">
        <v>74799</v>
      </c>
    </row>
    <row r="48" spans="1:3" x14ac:dyDescent="0.3">
      <c r="A48">
        <v>1974</v>
      </c>
      <c r="B48" t="s">
        <v>11</v>
      </c>
      <c r="C48" s="1">
        <v>89477</v>
      </c>
    </row>
    <row r="49" spans="1:3" x14ac:dyDescent="0.3">
      <c r="A49">
        <v>1974</v>
      </c>
      <c r="B49" t="s">
        <v>12</v>
      </c>
      <c r="C49" s="1">
        <v>44046</v>
      </c>
    </row>
    <row r="50" spans="1:3" x14ac:dyDescent="0.3">
      <c r="A50">
        <v>1975</v>
      </c>
      <c r="B50" t="s">
        <v>9</v>
      </c>
      <c r="C50" s="1">
        <v>85155</v>
      </c>
    </row>
    <row r="51" spans="1:3" x14ac:dyDescent="0.3">
      <c r="A51">
        <v>1975</v>
      </c>
      <c r="B51" t="s">
        <v>10</v>
      </c>
      <c r="C51" s="1">
        <v>30038</v>
      </c>
    </row>
    <row r="52" spans="1:3" x14ac:dyDescent="0.3">
      <c r="A52">
        <v>1975</v>
      </c>
      <c r="B52" t="s">
        <v>11</v>
      </c>
      <c r="C52" s="1">
        <v>51320</v>
      </c>
    </row>
    <row r="53" spans="1:3" x14ac:dyDescent="0.3">
      <c r="A53">
        <v>1975</v>
      </c>
      <c r="B53" t="s">
        <v>12</v>
      </c>
      <c r="C53" s="1">
        <v>21062</v>
      </c>
    </row>
    <row r="54" spans="1:3" x14ac:dyDescent="0.3">
      <c r="A54">
        <v>1976</v>
      </c>
      <c r="B54" t="s">
        <v>9</v>
      </c>
      <c r="C54" s="1">
        <v>78508</v>
      </c>
    </row>
    <row r="55" spans="1:3" x14ac:dyDescent="0.3">
      <c r="A55">
        <v>1976</v>
      </c>
      <c r="B55" t="s">
        <v>10</v>
      </c>
      <c r="C55" s="1">
        <v>38053</v>
      </c>
    </row>
    <row r="56" spans="1:3" x14ac:dyDescent="0.3">
      <c r="A56">
        <v>1976</v>
      </c>
      <c r="B56" t="s">
        <v>13</v>
      </c>
      <c r="C56" s="1">
        <v>25259</v>
      </c>
    </row>
    <row r="57" spans="1:3" x14ac:dyDescent="0.3">
      <c r="A57">
        <v>1976</v>
      </c>
      <c r="B57" t="s">
        <v>11</v>
      </c>
      <c r="C57" s="1">
        <v>37515</v>
      </c>
    </row>
    <row r="58" spans="1:3" x14ac:dyDescent="0.3">
      <c r="A58">
        <v>1976</v>
      </c>
      <c r="B58" t="s">
        <v>12</v>
      </c>
      <c r="C58" s="1">
        <v>9232</v>
      </c>
    </row>
    <row r="59" spans="1:3" x14ac:dyDescent="0.3">
      <c r="A59">
        <v>1977</v>
      </c>
      <c r="B59" t="s">
        <v>9</v>
      </c>
      <c r="C59" s="1">
        <v>67783</v>
      </c>
    </row>
    <row r="60" spans="1:3" x14ac:dyDescent="0.3">
      <c r="A60">
        <v>1977</v>
      </c>
      <c r="B60" t="s">
        <v>10</v>
      </c>
      <c r="C60" s="1">
        <v>37213</v>
      </c>
    </row>
    <row r="61" spans="1:3" x14ac:dyDescent="0.3">
      <c r="A61">
        <v>1977</v>
      </c>
      <c r="B61" t="s">
        <v>13</v>
      </c>
      <c r="C61" s="1">
        <v>11948</v>
      </c>
    </row>
    <row r="62" spans="1:3" x14ac:dyDescent="0.3">
      <c r="A62">
        <v>1977</v>
      </c>
      <c r="B62" t="s">
        <v>11</v>
      </c>
      <c r="C62" s="1">
        <v>29510</v>
      </c>
    </row>
    <row r="63" spans="1:3" x14ac:dyDescent="0.3">
      <c r="A63">
        <v>1977</v>
      </c>
      <c r="B63" t="s">
        <v>12</v>
      </c>
      <c r="C63" s="1">
        <v>6719</v>
      </c>
    </row>
    <row r="64" spans="1:3" x14ac:dyDescent="0.3">
      <c r="A64">
        <v>1978</v>
      </c>
      <c r="B64" t="s">
        <v>9</v>
      </c>
      <c r="C64" s="1">
        <v>81304</v>
      </c>
    </row>
    <row r="65" spans="1:4" x14ac:dyDescent="0.3">
      <c r="A65">
        <v>1978</v>
      </c>
      <c r="B65" t="s">
        <v>10</v>
      </c>
      <c r="C65" s="1">
        <v>60399</v>
      </c>
    </row>
    <row r="66" spans="1:4" x14ac:dyDescent="0.3">
      <c r="A66">
        <v>1978</v>
      </c>
      <c r="B66" t="s">
        <v>13</v>
      </c>
      <c r="C66" s="1">
        <v>8009</v>
      </c>
    </row>
    <row r="67" spans="1:4" x14ac:dyDescent="0.3">
      <c r="A67">
        <v>1978</v>
      </c>
      <c r="B67" t="s">
        <v>11</v>
      </c>
      <c r="C67" s="1">
        <v>34730</v>
      </c>
    </row>
    <row r="68" spans="1:4" x14ac:dyDescent="0.3">
      <c r="A68">
        <v>1978</v>
      </c>
      <c r="B68" t="s">
        <v>12</v>
      </c>
      <c r="C68" s="1">
        <v>7968</v>
      </c>
    </row>
    <row r="69" spans="1:4" x14ac:dyDescent="0.3">
      <c r="A69">
        <v>1979</v>
      </c>
      <c r="B69" t="s">
        <v>9</v>
      </c>
      <c r="C69" s="1">
        <v>156666</v>
      </c>
    </row>
    <row r="70" spans="1:4" x14ac:dyDescent="0.3">
      <c r="A70">
        <v>1979</v>
      </c>
      <c r="B70" t="s">
        <v>10</v>
      </c>
      <c r="C70" s="1">
        <v>92478</v>
      </c>
    </row>
    <row r="71" spans="1:4" x14ac:dyDescent="0.3">
      <c r="A71">
        <v>1979</v>
      </c>
      <c r="B71" t="s">
        <v>14</v>
      </c>
      <c r="C71" s="1">
        <v>17579</v>
      </c>
    </row>
    <row r="72" spans="1:4" x14ac:dyDescent="0.3">
      <c r="A72">
        <v>1979</v>
      </c>
      <c r="B72" t="s">
        <v>15</v>
      </c>
      <c r="C72" s="1">
        <v>10478</v>
      </c>
    </row>
    <row r="73" spans="1:4" x14ac:dyDescent="0.3">
      <c r="A73">
        <v>1979</v>
      </c>
      <c r="B73" t="s">
        <v>11</v>
      </c>
      <c r="C73" s="1">
        <v>56351</v>
      </c>
    </row>
    <row r="74" spans="1:4" x14ac:dyDescent="0.3">
      <c r="A74">
        <v>1979</v>
      </c>
      <c r="B74" t="s">
        <v>16</v>
      </c>
      <c r="C74" s="1">
        <v>36384</v>
      </c>
    </row>
    <row r="75" spans="1:4" x14ac:dyDescent="0.3">
      <c r="A75">
        <v>1980</v>
      </c>
      <c r="B75" t="s">
        <v>9</v>
      </c>
      <c r="C75" s="1">
        <v>128893</v>
      </c>
    </row>
    <row r="76" spans="1:4" x14ac:dyDescent="0.3">
      <c r="A76">
        <v>1980</v>
      </c>
      <c r="B76" t="s">
        <v>17</v>
      </c>
      <c r="C76" s="1">
        <v>98497</v>
      </c>
    </row>
    <row r="77" spans="1:4" x14ac:dyDescent="0.3">
      <c r="A77">
        <v>1980</v>
      </c>
      <c r="B77" t="s">
        <v>11</v>
      </c>
      <c r="C77" s="1">
        <v>23647</v>
      </c>
    </row>
    <row r="78" spans="1:4" x14ac:dyDescent="0.3">
      <c r="A78">
        <v>1980</v>
      </c>
      <c r="B78" t="s">
        <v>16</v>
      </c>
      <c r="C78" s="1">
        <v>20285</v>
      </c>
    </row>
    <row r="79" spans="1:4" x14ac:dyDescent="0.3">
      <c r="A79">
        <v>1981</v>
      </c>
      <c r="B79" t="s">
        <v>9</v>
      </c>
      <c r="C79" s="1">
        <v>77458</v>
      </c>
      <c r="D79" t="s">
        <v>18</v>
      </c>
    </row>
    <row r="80" spans="1:4" x14ac:dyDescent="0.3">
      <c r="A80">
        <v>1981</v>
      </c>
      <c r="B80" t="s">
        <v>17</v>
      </c>
      <c r="C80" s="1">
        <v>77399</v>
      </c>
    </row>
    <row r="81" spans="1:4" x14ac:dyDescent="0.3">
      <c r="A81">
        <v>1981</v>
      </c>
      <c r="B81" t="s">
        <v>11</v>
      </c>
      <c r="C81" s="1">
        <v>13422</v>
      </c>
    </row>
    <row r="82" spans="1:4" x14ac:dyDescent="0.3">
      <c r="A82">
        <v>1981</v>
      </c>
      <c r="B82" t="s">
        <v>16</v>
      </c>
      <c r="C82" s="1">
        <v>14273</v>
      </c>
    </row>
    <row r="83" spans="1:4" x14ac:dyDescent="0.3">
      <c r="A83">
        <v>1982</v>
      </c>
      <c r="B83" t="s">
        <v>9</v>
      </c>
      <c r="C83" s="1">
        <v>45316</v>
      </c>
    </row>
    <row r="84" spans="1:4" x14ac:dyDescent="0.3">
      <c r="A84">
        <v>1982</v>
      </c>
      <c r="B84" t="s">
        <v>19</v>
      </c>
      <c r="C84" s="1">
        <v>5828</v>
      </c>
    </row>
    <row r="85" spans="1:4" x14ac:dyDescent="0.3">
      <c r="A85">
        <v>1982</v>
      </c>
      <c r="B85" t="s">
        <v>20</v>
      </c>
      <c r="C85" s="1">
        <v>9926</v>
      </c>
    </row>
    <row r="86" spans="1:4" x14ac:dyDescent="0.3">
      <c r="A86">
        <v>1982</v>
      </c>
      <c r="B86" t="s">
        <v>10</v>
      </c>
      <c r="C86" s="1">
        <v>44549</v>
      </c>
    </row>
    <row r="87" spans="1:4" x14ac:dyDescent="0.3">
      <c r="A87">
        <v>1982</v>
      </c>
      <c r="B87" t="s">
        <v>21</v>
      </c>
      <c r="C87" s="1">
        <v>24799</v>
      </c>
    </row>
    <row r="88" spans="1:4" x14ac:dyDescent="0.3">
      <c r="A88">
        <v>1983</v>
      </c>
      <c r="B88" t="s">
        <v>9</v>
      </c>
      <c r="C88" s="1">
        <v>33201</v>
      </c>
    </row>
    <row r="89" spans="1:4" x14ac:dyDescent="0.3">
      <c r="A89">
        <v>1983</v>
      </c>
      <c r="B89" t="s">
        <v>22</v>
      </c>
      <c r="C89" s="1">
        <v>22437</v>
      </c>
      <c r="D89" t="s">
        <v>23</v>
      </c>
    </row>
    <row r="90" spans="1:4" x14ac:dyDescent="0.3">
      <c r="A90">
        <v>1983</v>
      </c>
      <c r="B90" t="s">
        <v>24</v>
      </c>
      <c r="C90" s="1">
        <v>1001</v>
      </c>
      <c r="D90" t="s">
        <v>25</v>
      </c>
    </row>
    <row r="91" spans="1:4" x14ac:dyDescent="0.3">
      <c r="A91">
        <v>1983</v>
      </c>
      <c r="B91" t="s">
        <v>26</v>
      </c>
      <c r="C91" s="1">
        <v>37586</v>
      </c>
    </row>
    <row r="92" spans="1:4" x14ac:dyDescent="0.3">
      <c r="A92">
        <v>1983</v>
      </c>
      <c r="B92" t="s">
        <v>21</v>
      </c>
      <c r="C92" s="1">
        <v>26648</v>
      </c>
    </row>
    <row r="93" spans="1:4" x14ac:dyDescent="0.3">
      <c r="A93">
        <v>1984</v>
      </c>
      <c r="B93" t="s">
        <v>9</v>
      </c>
      <c r="C93" s="1">
        <v>37680</v>
      </c>
    </row>
    <row r="94" spans="1:4" x14ac:dyDescent="0.3">
      <c r="A94">
        <v>1984</v>
      </c>
      <c r="B94" t="s">
        <v>27</v>
      </c>
      <c r="C94" s="1">
        <v>11344</v>
      </c>
    </row>
    <row r="95" spans="1:4" x14ac:dyDescent="0.3">
      <c r="A95">
        <v>1984</v>
      </c>
      <c r="B95" t="s">
        <v>24</v>
      </c>
      <c r="C95" s="1">
        <v>6256</v>
      </c>
    </row>
    <row r="96" spans="1:4" x14ac:dyDescent="0.3">
      <c r="A96">
        <v>1984</v>
      </c>
      <c r="B96" t="s">
        <v>26</v>
      </c>
      <c r="C96" s="1">
        <v>55542</v>
      </c>
    </row>
    <row r="97" spans="1:3" x14ac:dyDescent="0.3">
      <c r="A97">
        <v>1984</v>
      </c>
      <c r="B97" t="s">
        <v>21</v>
      </c>
      <c r="C97" s="1">
        <v>22150</v>
      </c>
    </row>
    <row r="98" spans="1:3" x14ac:dyDescent="0.3">
      <c r="A98">
        <v>1984</v>
      </c>
      <c r="B98" t="s">
        <v>28</v>
      </c>
      <c r="C98" s="1">
        <v>4508</v>
      </c>
    </row>
    <row r="99" spans="1:3" x14ac:dyDescent="0.3">
      <c r="A99">
        <v>1985</v>
      </c>
      <c r="B99" t="s">
        <v>9</v>
      </c>
      <c r="C99" s="1">
        <v>56781</v>
      </c>
    </row>
    <row r="100" spans="1:3" x14ac:dyDescent="0.3">
      <c r="A100">
        <v>1985</v>
      </c>
      <c r="B100" t="s">
        <v>27</v>
      </c>
      <c r="C100" s="1">
        <v>9561</v>
      </c>
    </row>
    <row r="101" spans="1:3" x14ac:dyDescent="0.3">
      <c r="A101">
        <v>1985</v>
      </c>
      <c r="B101" t="s">
        <v>24</v>
      </c>
      <c r="C101" s="1">
        <v>5549</v>
      </c>
    </row>
    <row r="102" spans="1:3" x14ac:dyDescent="0.3">
      <c r="A102">
        <v>1985</v>
      </c>
      <c r="B102" t="s">
        <v>26</v>
      </c>
      <c r="C102" s="1">
        <v>46229</v>
      </c>
    </row>
    <row r="103" spans="1:3" x14ac:dyDescent="0.3">
      <c r="A103">
        <v>1985</v>
      </c>
      <c r="B103" t="s">
        <v>21</v>
      </c>
      <c r="C103" s="1">
        <v>36879</v>
      </c>
    </row>
    <row r="104" spans="1:3" x14ac:dyDescent="0.3">
      <c r="A104">
        <v>1985</v>
      </c>
      <c r="B104" t="s">
        <v>28</v>
      </c>
      <c r="C104" s="1">
        <v>1515</v>
      </c>
    </row>
    <row r="105" spans="1:3" x14ac:dyDescent="0.3">
      <c r="A105">
        <v>1986</v>
      </c>
      <c r="B105" t="s">
        <v>9</v>
      </c>
      <c r="C105" s="1">
        <v>83774</v>
      </c>
    </row>
    <row r="106" spans="1:3" x14ac:dyDescent="0.3">
      <c r="A106">
        <v>1986</v>
      </c>
      <c r="B106" t="s">
        <v>27</v>
      </c>
      <c r="C106" s="1">
        <v>13058</v>
      </c>
    </row>
    <row r="107" spans="1:3" x14ac:dyDescent="0.3">
      <c r="A107">
        <v>1986</v>
      </c>
      <c r="B107" t="s">
        <v>24</v>
      </c>
      <c r="C107" s="1">
        <v>9887</v>
      </c>
    </row>
    <row r="108" spans="1:3" x14ac:dyDescent="0.3">
      <c r="A108">
        <v>1986</v>
      </c>
      <c r="B108" t="s">
        <v>26</v>
      </c>
      <c r="C108" s="1">
        <v>73541</v>
      </c>
    </row>
    <row r="109" spans="1:3" x14ac:dyDescent="0.3">
      <c r="A109">
        <v>1986</v>
      </c>
      <c r="B109" t="s">
        <v>21</v>
      </c>
      <c r="C109" s="1">
        <v>40578</v>
      </c>
    </row>
    <row r="110" spans="1:3" x14ac:dyDescent="0.3">
      <c r="A110">
        <v>1986</v>
      </c>
      <c r="B110" t="s">
        <v>28</v>
      </c>
      <c r="C110" s="1">
        <v>3379</v>
      </c>
    </row>
    <row r="111" spans="1:3" x14ac:dyDescent="0.3">
      <c r="A111">
        <v>1987</v>
      </c>
      <c r="B111" t="s">
        <v>29</v>
      </c>
      <c r="C111" s="1">
        <v>43257</v>
      </c>
    </row>
    <row r="112" spans="1:3" x14ac:dyDescent="0.3">
      <c r="A112">
        <v>1987</v>
      </c>
      <c r="B112" t="s">
        <v>26</v>
      </c>
      <c r="C112" s="1">
        <v>57353</v>
      </c>
    </row>
    <row r="113" spans="1:4" x14ac:dyDescent="0.3">
      <c r="A113">
        <v>1987</v>
      </c>
      <c r="B113" t="s">
        <v>21</v>
      </c>
      <c r="C113" s="1">
        <v>37088</v>
      </c>
    </row>
    <row r="114" spans="1:4" x14ac:dyDescent="0.3">
      <c r="A114">
        <v>1987</v>
      </c>
      <c r="B114" t="s">
        <v>27</v>
      </c>
      <c r="C114" s="1">
        <v>21623</v>
      </c>
    </row>
    <row r="115" spans="1:4" x14ac:dyDescent="0.3">
      <c r="A115">
        <v>1987</v>
      </c>
      <c r="B115" t="s">
        <v>24</v>
      </c>
      <c r="C115" s="1">
        <v>10451</v>
      </c>
    </row>
    <row r="116" spans="1:4" x14ac:dyDescent="0.3">
      <c r="A116">
        <v>1988</v>
      </c>
      <c r="B116" t="s">
        <v>29</v>
      </c>
      <c r="C116" s="1">
        <v>53221</v>
      </c>
    </row>
    <row r="117" spans="1:4" x14ac:dyDescent="0.3">
      <c r="A117">
        <v>1988</v>
      </c>
      <c r="B117" t="s">
        <v>26</v>
      </c>
      <c r="C117" s="1">
        <v>75636</v>
      </c>
    </row>
    <row r="118" spans="1:4" x14ac:dyDescent="0.3">
      <c r="A118">
        <v>1988</v>
      </c>
      <c r="B118" t="s">
        <v>21</v>
      </c>
      <c r="C118" s="1">
        <v>50294</v>
      </c>
    </row>
    <row r="119" spans="1:4" x14ac:dyDescent="0.3">
      <c r="A119">
        <v>1988</v>
      </c>
      <c r="B119" t="s">
        <v>27</v>
      </c>
      <c r="C119" s="1">
        <v>13900</v>
      </c>
    </row>
    <row r="120" spans="1:4" x14ac:dyDescent="0.3">
      <c r="A120">
        <v>1988</v>
      </c>
      <c r="B120" t="s">
        <v>24</v>
      </c>
      <c r="C120" s="1">
        <v>18174</v>
      </c>
    </row>
    <row r="121" spans="1:4" x14ac:dyDescent="0.3">
      <c r="A121">
        <v>1989</v>
      </c>
      <c r="B121" t="s">
        <v>29</v>
      </c>
      <c r="C121" s="1">
        <v>50560</v>
      </c>
    </row>
    <row r="122" spans="1:4" x14ac:dyDescent="0.3">
      <c r="A122">
        <v>1989</v>
      </c>
      <c r="B122" t="s">
        <v>30</v>
      </c>
      <c r="C122" s="1">
        <v>116965</v>
      </c>
    </row>
    <row r="123" spans="1:4" x14ac:dyDescent="0.3">
      <c r="A123">
        <v>1989</v>
      </c>
      <c r="B123" t="s">
        <v>31</v>
      </c>
      <c r="C123" s="1">
        <v>42244</v>
      </c>
      <c r="D123" t="s">
        <v>32</v>
      </c>
    </row>
    <row r="124" spans="1:4" x14ac:dyDescent="0.3">
      <c r="A124">
        <v>1990</v>
      </c>
      <c r="B124" t="s">
        <v>29</v>
      </c>
      <c r="C124" s="1">
        <v>22503</v>
      </c>
    </row>
    <row r="125" spans="1:4" x14ac:dyDescent="0.3">
      <c r="A125">
        <v>1990</v>
      </c>
      <c r="B125" t="s">
        <v>30</v>
      </c>
      <c r="C125" s="1">
        <v>78728</v>
      </c>
      <c r="D125" t="s">
        <v>33</v>
      </c>
    </row>
    <row r="126" spans="1:4" x14ac:dyDescent="0.3">
      <c r="A126">
        <v>1990</v>
      </c>
      <c r="B126" t="s">
        <v>34</v>
      </c>
      <c r="C126" s="1">
        <v>26958</v>
      </c>
      <c r="D126" t="s">
        <v>35</v>
      </c>
    </row>
    <row r="127" spans="1:4" x14ac:dyDescent="0.3">
      <c r="A127">
        <v>1991</v>
      </c>
      <c r="B127" t="s">
        <v>29</v>
      </c>
      <c r="C127" s="1">
        <v>19447</v>
      </c>
    </row>
    <row r="128" spans="1:4" x14ac:dyDescent="0.3">
      <c r="A128">
        <v>1991</v>
      </c>
      <c r="B128" t="s">
        <v>30</v>
      </c>
      <c r="C128" s="1">
        <v>57777</v>
      </c>
      <c r="D128" t="s">
        <v>36</v>
      </c>
    </row>
    <row r="129" spans="1:4" x14ac:dyDescent="0.3">
      <c r="A129">
        <v>1991</v>
      </c>
      <c r="B129" t="s">
        <v>31</v>
      </c>
      <c r="C129" s="1">
        <v>21513</v>
      </c>
    </row>
    <row r="130" spans="1:4" x14ac:dyDescent="0.3">
      <c r="A130">
        <v>1992</v>
      </c>
      <c r="B130" t="s">
        <v>29</v>
      </c>
      <c r="C130" s="1">
        <v>15717</v>
      </c>
    </row>
    <row r="131" spans="1:4" x14ac:dyDescent="0.3">
      <c r="A131">
        <v>1992</v>
      </c>
      <c r="B131" t="s">
        <v>30</v>
      </c>
      <c r="C131" s="1">
        <v>40093</v>
      </c>
      <c r="D131" t="s">
        <v>37</v>
      </c>
    </row>
    <row r="132" spans="1:4" x14ac:dyDescent="0.3">
      <c r="A132">
        <v>1992</v>
      </c>
      <c r="B132" t="s">
        <v>31</v>
      </c>
      <c r="C132" s="1">
        <v>23470</v>
      </c>
    </row>
    <row r="133" spans="1:4" x14ac:dyDescent="0.3">
      <c r="A133">
        <v>1993</v>
      </c>
      <c r="B133" t="s">
        <v>29</v>
      </c>
      <c r="C133" s="1">
        <v>24851</v>
      </c>
    </row>
    <row r="134" spans="1:4" x14ac:dyDescent="0.3">
      <c r="A134">
        <v>1993</v>
      </c>
      <c r="B134" t="s">
        <v>30</v>
      </c>
      <c r="C134" s="1">
        <v>56977</v>
      </c>
      <c r="D134" t="s">
        <v>38</v>
      </c>
    </row>
    <row r="135" spans="1:4" x14ac:dyDescent="0.3">
      <c r="A135">
        <v>1993</v>
      </c>
      <c r="B135" t="s">
        <v>14</v>
      </c>
      <c r="C135" s="1">
        <v>4993</v>
      </c>
    </row>
    <row r="136" spans="1:4" x14ac:dyDescent="0.3">
      <c r="A136">
        <v>1993</v>
      </c>
      <c r="B136" t="s">
        <v>39</v>
      </c>
      <c r="C136">
        <v>107</v>
      </c>
    </row>
    <row r="137" spans="1:4" x14ac:dyDescent="0.3">
      <c r="A137">
        <v>1993</v>
      </c>
      <c r="B137" t="s">
        <v>31</v>
      </c>
      <c r="C137" s="1">
        <v>27300</v>
      </c>
    </row>
    <row r="138" spans="1:4" x14ac:dyDescent="0.3">
      <c r="A138">
        <v>1994</v>
      </c>
      <c r="B138" t="s">
        <v>40</v>
      </c>
      <c r="C138" s="1">
        <v>42883</v>
      </c>
    </row>
    <row r="139" spans="1:4" x14ac:dyDescent="0.3">
      <c r="A139">
        <v>1994</v>
      </c>
      <c r="B139" t="s">
        <v>41</v>
      </c>
      <c r="C139" s="1">
        <v>30592</v>
      </c>
    </row>
    <row r="140" spans="1:4" x14ac:dyDescent="0.3">
      <c r="A140">
        <v>1994</v>
      </c>
      <c r="B140" t="s">
        <v>42</v>
      </c>
      <c r="C140" s="1">
        <v>5009</v>
      </c>
    </row>
    <row r="141" spans="1:4" x14ac:dyDescent="0.3">
      <c r="A141">
        <v>1994</v>
      </c>
      <c r="B141" t="s">
        <v>43</v>
      </c>
      <c r="C141" s="1">
        <v>18333</v>
      </c>
    </row>
    <row r="142" spans="1:4" x14ac:dyDescent="0.3">
      <c r="A142">
        <v>1994</v>
      </c>
      <c r="B142" t="s">
        <v>24</v>
      </c>
      <c r="C142" s="1">
        <v>25381</v>
      </c>
    </row>
    <row r="143" spans="1:4" x14ac:dyDescent="0.3">
      <c r="A143">
        <v>1994</v>
      </c>
      <c r="B143" t="s">
        <v>44</v>
      </c>
      <c r="C143" s="1">
        <v>1000</v>
      </c>
    </row>
    <row r="144" spans="1:4" x14ac:dyDescent="0.3">
      <c r="A144">
        <v>1995</v>
      </c>
      <c r="B144" t="s">
        <v>40</v>
      </c>
      <c r="C144" s="1">
        <v>86379</v>
      </c>
    </row>
    <row r="145" spans="1:3" x14ac:dyDescent="0.3">
      <c r="A145">
        <v>1995</v>
      </c>
      <c r="B145" t="s">
        <v>41</v>
      </c>
      <c r="C145" s="1">
        <v>40718</v>
      </c>
    </row>
    <row r="146" spans="1:3" x14ac:dyDescent="0.3">
      <c r="A146">
        <v>1995</v>
      </c>
      <c r="B146" t="s">
        <v>45</v>
      </c>
      <c r="C146" s="1">
        <v>6370</v>
      </c>
    </row>
    <row r="147" spans="1:3" x14ac:dyDescent="0.3">
      <c r="A147">
        <v>1995</v>
      </c>
      <c r="B147" t="s">
        <v>42</v>
      </c>
      <c r="C147" s="1">
        <v>4005</v>
      </c>
    </row>
    <row r="148" spans="1:3" x14ac:dyDescent="0.3">
      <c r="A148">
        <v>1995</v>
      </c>
      <c r="B148" t="s">
        <v>46</v>
      </c>
      <c r="C148">
        <v>250</v>
      </c>
    </row>
    <row r="149" spans="1:3" x14ac:dyDescent="0.3">
      <c r="A149">
        <v>1995</v>
      </c>
      <c r="B149" t="s">
        <v>43</v>
      </c>
      <c r="C149" s="1">
        <v>30593</v>
      </c>
    </row>
    <row r="150" spans="1:3" x14ac:dyDescent="0.3">
      <c r="A150">
        <v>1995</v>
      </c>
      <c r="B150" t="s">
        <v>24</v>
      </c>
      <c r="C150" s="1">
        <v>16668</v>
      </c>
    </row>
    <row r="151" spans="1:3" x14ac:dyDescent="0.3">
      <c r="A151">
        <v>1995</v>
      </c>
      <c r="B151" t="s">
        <v>47</v>
      </c>
      <c r="C151" s="1">
        <v>1003</v>
      </c>
    </row>
    <row r="152" spans="1:3" x14ac:dyDescent="0.3">
      <c r="A152">
        <v>1996</v>
      </c>
      <c r="B152" t="s">
        <v>40</v>
      </c>
      <c r="C152" s="1">
        <v>61187</v>
      </c>
    </row>
    <row r="153" spans="1:3" x14ac:dyDescent="0.3">
      <c r="A153">
        <v>1996</v>
      </c>
      <c r="B153" t="s">
        <v>41</v>
      </c>
      <c r="C153" s="1">
        <v>31624</v>
      </c>
    </row>
    <row r="154" spans="1:3" x14ac:dyDescent="0.3">
      <c r="A154">
        <v>1996</v>
      </c>
      <c r="B154" t="s">
        <v>43</v>
      </c>
      <c r="C154" s="1">
        <v>15246</v>
      </c>
    </row>
    <row r="155" spans="1:3" x14ac:dyDescent="0.3">
      <c r="A155">
        <v>1996</v>
      </c>
      <c r="B155" t="s">
        <v>24</v>
      </c>
      <c r="C155" s="1">
        <v>17917</v>
      </c>
    </row>
    <row r="156" spans="1:3" x14ac:dyDescent="0.3">
      <c r="A156">
        <v>1996</v>
      </c>
      <c r="B156" t="s">
        <v>47</v>
      </c>
      <c r="C156" s="1">
        <v>2510</v>
      </c>
    </row>
    <row r="157" spans="1:3" x14ac:dyDescent="0.3">
      <c r="A157">
        <v>1996</v>
      </c>
      <c r="B157" t="s">
        <v>42</v>
      </c>
      <c r="C157" s="1">
        <v>7496</v>
      </c>
    </row>
    <row r="158" spans="1:3" x14ac:dyDescent="0.3">
      <c r="A158">
        <v>1997</v>
      </c>
      <c r="B158" t="s">
        <v>40</v>
      </c>
      <c r="C158" s="1">
        <v>56812</v>
      </c>
    </row>
    <row r="159" spans="1:3" x14ac:dyDescent="0.3">
      <c r="A159">
        <v>1997</v>
      </c>
      <c r="B159" t="s">
        <v>41</v>
      </c>
      <c r="C159" s="1">
        <v>18464</v>
      </c>
    </row>
    <row r="160" spans="1:3" x14ac:dyDescent="0.3">
      <c r="A160">
        <v>1997</v>
      </c>
      <c r="B160" t="s">
        <v>43</v>
      </c>
      <c r="C160" s="1">
        <v>11606</v>
      </c>
    </row>
    <row r="161" spans="1:3" x14ac:dyDescent="0.3">
      <c r="A161">
        <v>1997</v>
      </c>
      <c r="B161" t="s">
        <v>24</v>
      </c>
      <c r="C161" s="1">
        <v>11413</v>
      </c>
    </row>
    <row r="162" spans="1:3" x14ac:dyDescent="0.3">
      <c r="A162">
        <v>1997</v>
      </c>
      <c r="B162" t="s">
        <v>47</v>
      </c>
      <c r="C162" s="1">
        <v>3088</v>
      </c>
    </row>
    <row r="163" spans="1:3" x14ac:dyDescent="0.3">
      <c r="A163">
        <v>1997</v>
      </c>
      <c r="B163" t="s">
        <v>42</v>
      </c>
      <c r="C163" s="1">
        <v>6961</v>
      </c>
    </row>
    <row r="164" spans="1:3" x14ac:dyDescent="0.3">
      <c r="A164">
        <v>1998</v>
      </c>
      <c r="B164" t="s">
        <v>40</v>
      </c>
      <c r="C164" s="1">
        <v>99801</v>
      </c>
    </row>
    <row r="165" spans="1:3" x14ac:dyDescent="0.3">
      <c r="A165">
        <v>1998</v>
      </c>
      <c r="B165" t="s">
        <v>41</v>
      </c>
      <c r="C165" s="1">
        <v>28789</v>
      </c>
    </row>
    <row r="166" spans="1:3" x14ac:dyDescent="0.3">
      <c r="A166">
        <v>1998</v>
      </c>
      <c r="B166" t="s">
        <v>43</v>
      </c>
      <c r="C166" s="1">
        <v>21254</v>
      </c>
    </row>
    <row r="167" spans="1:3" x14ac:dyDescent="0.3">
      <c r="A167">
        <v>1998</v>
      </c>
      <c r="B167" t="s">
        <v>24</v>
      </c>
      <c r="C167" s="1">
        <v>17024</v>
      </c>
    </row>
    <row r="168" spans="1:3" x14ac:dyDescent="0.3">
      <c r="A168">
        <v>1998</v>
      </c>
      <c r="B168" t="s">
        <v>47</v>
      </c>
      <c r="C168" s="1">
        <v>3480</v>
      </c>
    </row>
    <row r="169" spans="1:3" x14ac:dyDescent="0.3">
      <c r="A169">
        <v>1998</v>
      </c>
      <c r="B169" t="s">
        <v>42</v>
      </c>
      <c r="C169" s="1">
        <v>5174</v>
      </c>
    </row>
    <row r="170" spans="1:3" x14ac:dyDescent="0.3">
      <c r="A170">
        <v>1999</v>
      </c>
      <c r="B170" t="s">
        <v>40</v>
      </c>
      <c r="C170" s="1">
        <v>73180</v>
      </c>
    </row>
    <row r="171" spans="1:3" x14ac:dyDescent="0.3">
      <c r="A171">
        <v>1999</v>
      </c>
      <c r="B171" t="s">
        <v>41</v>
      </c>
      <c r="C171" s="1">
        <v>17316</v>
      </c>
    </row>
    <row r="172" spans="1:3" x14ac:dyDescent="0.3">
      <c r="A172">
        <v>1999</v>
      </c>
      <c r="B172" t="s">
        <v>48</v>
      </c>
      <c r="C172" s="1">
        <v>2318</v>
      </c>
    </row>
    <row r="173" spans="1:3" x14ac:dyDescent="0.3">
      <c r="A173">
        <v>1999</v>
      </c>
      <c r="B173" t="s">
        <v>43</v>
      </c>
      <c r="C173" s="1">
        <v>19299</v>
      </c>
    </row>
    <row r="174" spans="1:3" x14ac:dyDescent="0.3">
      <c r="A174">
        <v>1999</v>
      </c>
      <c r="B174" t="s">
        <v>24</v>
      </c>
      <c r="C174" s="1">
        <v>11389</v>
      </c>
    </row>
    <row r="175" spans="1:3" x14ac:dyDescent="0.3">
      <c r="A175">
        <v>1999</v>
      </c>
      <c r="B175" t="s">
        <v>49</v>
      </c>
      <c r="C175" s="1">
        <v>2310</v>
      </c>
    </row>
    <row r="176" spans="1:3" x14ac:dyDescent="0.3">
      <c r="A176">
        <v>1999</v>
      </c>
      <c r="B176" t="s">
        <v>47</v>
      </c>
      <c r="C176" s="1">
        <v>4055</v>
      </c>
    </row>
    <row r="177" spans="1:3" x14ac:dyDescent="0.3">
      <c r="A177">
        <v>1999</v>
      </c>
      <c r="B177" t="s">
        <v>42</v>
      </c>
      <c r="C177" s="1">
        <v>4040</v>
      </c>
    </row>
    <row r="178" spans="1:3" x14ac:dyDescent="0.3">
      <c r="A178">
        <v>2000</v>
      </c>
      <c r="B178" t="s">
        <v>40</v>
      </c>
      <c r="C178" s="1">
        <v>121026</v>
      </c>
    </row>
    <row r="179" spans="1:3" x14ac:dyDescent="0.3">
      <c r="A179">
        <v>2000</v>
      </c>
      <c r="B179" t="s">
        <v>41</v>
      </c>
      <c r="C179" s="1">
        <v>32321</v>
      </c>
    </row>
    <row r="180" spans="1:3" x14ac:dyDescent="0.3">
      <c r="A180">
        <v>2000</v>
      </c>
      <c r="B180" t="s">
        <v>43</v>
      </c>
      <c r="C180" s="1">
        <v>41368</v>
      </c>
    </row>
    <row r="181" spans="1:3" x14ac:dyDescent="0.3">
      <c r="A181">
        <v>2000</v>
      </c>
      <c r="B181" t="s">
        <v>24</v>
      </c>
      <c r="C181" s="1">
        <v>20224</v>
      </c>
    </row>
    <row r="182" spans="1:3" x14ac:dyDescent="0.3">
      <c r="A182">
        <v>2000</v>
      </c>
      <c r="B182" t="s">
        <v>46</v>
      </c>
      <c r="C182">
        <v>300</v>
      </c>
    </row>
    <row r="183" spans="1:3" x14ac:dyDescent="0.3">
      <c r="A183">
        <v>2001</v>
      </c>
      <c r="B183" t="s">
        <v>40</v>
      </c>
      <c r="C183" s="1">
        <v>75321</v>
      </c>
    </row>
    <row r="184" spans="1:3" x14ac:dyDescent="0.3">
      <c r="A184">
        <v>2001</v>
      </c>
      <c r="B184" t="s">
        <v>41</v>
      </c>
      <c r="C184" s="1">
        <v>26929</v>
      </c>
    </row>
    <row r="185" spans="1:3" x14ac:dyDescent="0.3">
      <c r="A185">
        <v>2001</v>
      </c>
      <c r="B185" t="s">
        <v>50</v>
      </c>
      <c r="C185" s="1">
        <v>5582</v>
      </c>
    </row>
    <row r="186" spans="1:3" x14ac:dyDescent="0.3">
      <c r="A186">
        <v>2001</v>
      </c>
      <c r="B186" t="s">
        <v>43</v>
      </c>
      <c r="C186" s="1">
        <v>30399</v>
      </c>
    </row>
    <row r="187" spans="1:3" x14ac:dyDescent="0.3">
      <c r="A187">
        <v>2001</v>
      </c>
      <c r="B187" t="s">
        <v>24</v>
      </c>
      <c r="C187" s="1">
        <v>18336</v>
      </c>
    </row>
    <row r="188" spans="1:3" x14ac:dyDescent="0.3">
      <c r="A188">
        <v>2001</v>
      </c>
      <c r="B188" t="s">
        <v>47</v>
      </c>
      <c r="C188" s="1">
        <v>3384</v>
      </c>
    </row>
    <row r="189" spans="1:3" x14ac:dyDescent="0.3">
      <c r="A189">
        <v>2001</v>
      </c>
      <c r="B189" t="s">
        <v>42</v>
      </c>
      <c r="C189" s="1">
        <v>3867</v>
      </c>
    </row>
    <row r="190" spans="1:3" x14ac:dyDescent="0.3">
      <c r="A190">
        <v>2002</v>
      </c>
      <c r="B190" t="s">
        <v>40</v>
      </c>
      <c r="C190" s="1">
        <v>67090</v>
      </c>
    </row>
    <row r="191" spans="1:3" x14ac:dyDescent="0.3">
      <c r="A191">
        <v>2002</v>
      </c>
      <c r="B191" t="s">
        <v>41</v>
      </c>
      <c r="C191" s="1">
        <v>33093</v>
      </c>
    </row>
    <row r="192" spans="1:3" x14ac:dyDescent="0.3">
      <c r="A192">
        <v>2002</v>
      </c>
      <c r="B192" t="s">
        <v>43</v>
      </c>
      <c r="C192" s="1">
        <v>24747</v>
      </c>
    </row>
    <row r="193" spans="1:4" x14ac:dyDescent="0.3">
      <c r="A193">
        <v>2002</v>
      </c>
      <c r="B193" t="s">
        <v>24</v>
      </c>
      <c r="C193" s="1">
        <v>17717</v>
      </c>
    </row>
    <row r="194" spans="1:4" x14ac:dyDescent="0.3">
      <c r="A194">
        <v>2002</v>
      </c>
      <c r="B194" t="s">
        <v>51</v>
      </c>
      <c r="C194">
        <v>100</v>
      </c>
      <c r="D194" t="s">
        <v>52</v>
      </c>
    </row>
    <row r="195" spans="1:4" x14ac:dyDescent="0.3">
      <c r="A195">
        <v>2003</v>
      </c>
      <c r="B195" t="s">
        <v>40</v>
      </c>
      <c r="C195" s="1">
        <v>59943</v>
      </c>
    </row>
    <row r="196" spans="1:4" x14ac:dyDescent="0.3">
      <c r="A196">
        <v>2003</v>
      </c>
      <c r="B196" t="s">
        <v>41</v>
      </c>
      <c r="C196" s="1">
        <v>26238</v>
      </c>
    </row>
    <row r="197" spans="1:4" x14ac:dyDescent="0.3">
      <c r="A197">
        <v>2003</v>
      </c>
      <c r="B197" t="s">
        <v>53</v>
      </c>
      <c r="C197">
        <v>717</v>
      </c>
    </row>
    <row r="198" spans="1:4" x14ac:dyDescent="0.3">
      <c r="A198">
        <v>2003</v>
      </c>
      <c r="B198" t="s">
        <v>54</v>
      </c>
      <c r="C198" s="1">
        <v>9652</v>
      </c>
    </row>
    <row r="199" spans="1:4" x14ac:dyDescent="0.3">
      <c r="A199">
        <v>2003</v>
      </c>
      <c r="B199" t="s">
        <v>42</v>
      </c>
      <c r="C199" s="1">
        <v>8394</v>
      </c>
    </row>
    <row r="200" spans="1:4" x14ac:dyDescent="0.3">
      <c r="A200">
        <v>2003</v>
      </c>
      <c r="B200" t="s">
        <v>43</v>
      </c>
      <c r="C200" s="1">
        <v>26500</v>
      </c>
    </row>
    <row r="201" spans="1:4" x14ac:dyDescent="0.3">
      <c r="A201">
        <v>2003</v>
      </c>
      <c r="B201" t="s">
        <v>24</v>
      </c>
      <c r="C201" s="1">
        <v>15518</v>
      </c>
    </row>
    <row r="202" spans="1:4" x14ac:dyDescent="0.3">
      <c r="A202">
        <v>2003</v>
      </c>
      <c r="B202" t="s">
        <v>55</v>
      </c>
      <c r="C202" s="1">
        <v>1323</v>
      </c>
    </row>
    <row r="203" spans="1:4" x14ac:dyDescent="0.3">
      <c r="A203">
        <v>2003</v>
      </c>
      <c r="B203" t="s">
        <v>47</v>
      </c>
      <c r="C203" s="1">
        <v>5082</v>
      </c>
    </row>
    <row r="204" spans="1:4" x14ac:dyDescent="0.3">
      <c r="A204">
        <v>2004</v>
      </c>
      <c r="B204" t="s">
        <v>40</v>
      </c>
      <c r="C204" s="1">
        <v>64484</v>
      </c>
    </row>
    <row r="205" spans="1:4" x14ac:dyDescent="0.3">
      <c r="A205">
        <v>2004</v>
      </c>
      <c r="B205" t="s">
        <v>41</v>
      </c>
      <c r="C205" s="1">
        <v>22724</v>
      </c>
    </row>
    <row r="206" spans="1:4" x14ac:dyDescent="0.3">
      <c r="A206">
        <v>2004</v>
      </c>
      <c r="B206" t="s">
        <v>56</v>
      </c>
      <c r="C206" s="1">
        <v>7182</v>
      </c>
    </row>
    <row r="207" spans="1:4" x14ac:dyDescent="0.3">
      <c r="A207">
        <v>2004</v>
      </c>
      <c r="B207" t="s">
        <v>43</v>
      </c>
      <c r="C207" s="1">
        <v>28330</v>
      </c>
    </row>
    <row r="208" spans="1:4" x14ac:dyDescent="0.3">
      <c r="A208">
        <v>2004</v>
      </c>
      <c r="B208" t="s">
        <v>24</v>
      </c>
      <c r="C208" s="1">
        <v>13928</v>
      </c>
    </row>
    <row r="209" spans="1:4" x14ac:dyDescent="0.3">
      <c r="A209">
        <v>2004</v>
      </c>
      <c r="B209" t="s">
        <v>57</v>
      </c>
      <c r="C209" s="1">
        <v>3768</v>
      </c>
    </row>
    <row r="210" spans="1:4" x14ac:dyDescent="0.3">
      <c r="A210">
        <v>2004</v>
      </c>
      <c r="B210" t="s">
        <v>51</v>
      </c>
      <c r="C210" s="1">
        <v>1896</v>
      </c>
    </row>
    <row r="211" spans="1:4" x14ac:dyDescent="0.3">
      <c r="A211">
        <v>2005</v>
      </c>
      <c r="B211" t="s">
        <v>40</v>
      </c>
      <c r="C211" s="1">
        <v>70827</v>
      </c>
    </row>
    <row r="212" spans="1:4" x14ac:dyDescent="0.3">
      <c r="A212">
        <v>2005</v>
      </c>
      <c r="B212" t="s">
        <v>41</v>
      </c>
      <c r="C212" s="1">
        <v>47449</v>
      </c>
    </row>
    <row r="213" spans="1:4" x14ac:dyDescent="0.3">
      <c r="A213">
        <v>2005</v>
      </c>
      <c r="B213" t="s">
        <v>43</v>
      </c>
      <c r="C213" s="1">
        <v>28793</v>
      </c>
    </row>
    <row r="214" spans="1:4" x14ac:dyDescent="0.3">
      <c r="A214">
        <v>2005</v>
      </c>
      <c r="B214" t="s">
        <v>24</v>
      </c>
      <c r="C214" s="1">
        <v>13343</v>
      </c>
    </row>
    <row r="215" spans="1:4" x14ac:dyDescent="0.3">
      <c r="A215">
        <v>2006</v>
      </c>
      <c r="B215" t="s">
        <v>40</v>
      </c>
      <c r="C215" s="1">
        <v>64082</v>
      </c>
    </row>
    <row r="216" spans="1:4" x14ac:dyDescent="0.3">
      <c r="A216">
        <v>2006</v>
      </c>
      <c r="B216" t="s">
        <v>41</v>
      </c>
      <c r="C216" s="1">
        <v>56400</v>
      </c>
    </row>
    <row r="217" spans="1:4" x14ac:dyDescent="0.3">
      <c r="A217">
        <v>2006</v>
      </c>
      <c r="B217" t="s">
        <v>43</v>
      </c>
      <c r="C217" s="1">
        <v>23232</v>
      </c>
    </row>
    <row r="218" spans="1:4" x14ac:dyDescent="0.3">
      <c r="A218">
        <v>2006</v>
      </c>
      <c r="B218" t="s">
        <v>24</v>
      </c>
      <c r="C218" s="1">
        <v>22048</v>
      </c>
    </row>
    <row r="219" spans="1:4" x14ac:dyDescent="0.3">
      <c r="A219">
        <v>2006</v>
      </c>
      <c r="B219" t="s">
        <v>58</v>
      </c>
      <c r="C219">
        <v>500</v>
      </c>
      <c r="D219" t="s">
        <v>59</v>
      </c>
    </row>
    <row r="220" spans="1:4" x14ac:dyDescent="0.3">
      <c r="A220">
        <v>2007</v>
      </c>
      <c r="B220" t="s">
        <v>40</v>
      </c>
      <c r="C220" s="1">
        <v>66049</v>
      </c>
    </row>
    <row r="221" spans="1:4" x14ac:dyDescent="0.3">
      <c r="A221">
        <v>2007</v>
      </c>
      <c r="B221" t="s">
        <v>41</v>
      </c>
      <c r="C221" s="1">
        <v>53516</v>
      </c>
    </row>
    <row r="222" spans="1:4" x14ac:dyDescent="0.3">
      <c r="A222">
        <v>2007</v>
      </c>
      <c r="B222" t="s">
        <v>60</v>
      </c>
      <c r="C222">
        <v>100</v>
      </c>
    </row>
    <row r="223" spans="1:4" x14ac:dyDescent="0.3">
      <c r="A223">
        <v>2007</v>
      </c>
      <c r="B223" t="s">
        <v>43</v>
      </c>
      <c r="C223" s="1">
        <v>26931</v>
      </c>
    </row>
    <row r="224" spans="1:4" x14ac:dyDescent="0.3">
      <c r="A224">
        <v>2007</v>
      </c>
      <c r="B224" t="s">
        <v>24</v>
      </c>
      <c r="C224" s="1">
        <v>17057</v>
      </c>
    </row>
    <row r="225" spans="1:3" x14ac:dyDescent="0.3">
      <c r="A225">
        <v>2007</v>
      </c>
      <c r="B225" t="s">
        <v>61</v>
      </c>
      <c r="C225">
        <v>500</v>
      </c>
    </row>
    <row r="226" spans="1:3" x14ac:dyDescent="0.3">
      <c r="A226">
        <v>2007</v>
      </c>
      <c r="B226" t="s">
        <v>62</v>
      </c>
      <c r="C226" s="1">
        <v>8162</v>
      </c>
    </row>
    <row r="227" spans="1:3" x14ac:dyDescent="0.3">
      <c r="A227">
        <v>2007</v>
      </c>
      <c r="B227" t="s">
        <v>63</v>
      </c>
      <c r="C227" s="1">
        <v>2702</v>
      </c>
    </row>
    <row r="228" spans="1:3" x14ac:dyDescent="0.3">
      <c r="A228">
        <v>2008</v>
      </c>
      <c r="B228" t="s">
        <v>40</v>
      </c>
      <c r="C228" s="1">
        <v>38588</v>
      </c>
    </row>
    <row r="229" spans="1:3" x14ac:dyDescent="0.3">
      <c r="A229">
        <v>2008</v>
      </c>
      <c r="B229" t="s">
        <v>64</v>
      </c>
      <c r="C229">
        <v>969</v>
      </c>
    </row>
    <row r="230" spans="1:3" x14ac:dyDescent="0.3">
      <c r="A230">
        <v>2008</v>
      </c>
      <c r="B230" t="s">
        <v>41</v>
      </c>
      <c r="C230" s="1">
        <v>23733</v>
      </c>
    </row>
    <row r="231" spans="1:3" x14ac:dyDescent="0.3">
      <c r="A231">
        <v>2008</v>
      </c>
      <c r="B231" t="s">
        <v>65</v>
      </c>
      <c r="C231" s="1">
        <v>4900</v>
      </c>
    </row>
    <row r="232" spans="1:3" x14ac:dyDescent="0.3">
      <c r="A232">
        <v>2008</v>
      </c>
      <c r="B232" t="s">
        <v>66</v>
      </c>
      <c r="C232" s="1">
        <v>5773</v>
      </c>
    </row>
    <row r="233" spans="1:3" x14ac:dyDescent="0.3">
      <c r="A233">
        <v>2008</v>
      </c>
      <c r="B233" t="s">
        <v>67</v>
      </c>
      <c r="C233" s="1">
        <v>2600</v>
      </c>
    </row>
    <row r="234" spans="1:3" x14ac:dyDescent="0.3">
      <c r="A234">
        <v>2008</v>
      </c>
      <c r="B234" t="s">
        <v>43</v>
      </c>
      <c r="C234" s="1">
        <v>11596</v>
      </c>
    </row>
    <row r="235" spans="1:3" x14ac:dyDescent="0.3">
      <c r="A235">
        <v>2008</v>
      </c>
      <c r="B235" t="s">
        <v>68</v>
      </c>
      <c r="C235">
        <v>503</v>
      </c>
    </row>
    <row r="236" spans="1:3" x14ac:dyDescent="0.3">
      <c r="A236">
        <v>2008</v>
      </c>
      <c r="B236" t="s">
        <v>24</v>
      </c>
      <c r="C236" s="1">
        <v>10538</v>
      </c>
    </row>
    <row r="237" spans="1:3" x14ac:dyDescent="0.3">
      <c r="A237">
        <v>2008</v>
      </c>
      <c r="B237" t="s">
        <v>62</v>
      </c>
      <c r="C237" s="1">
        <v>7501</v>
      </c>
    </row>
    <row r="238" spans="1:3" x14ac:dyDescent="0.3">
      <c r="A238">
        <v>2008</v>
      </c>
      <c r="B238" t="s">
        <v>63</v>
      </c>
      <c r="C238" s="1">
        <v>2066</v>
      </c>
    </row>
    <row r="239" spans="1:3" x14ac:dyDescent="0.3">
      <c r="A239">
        <v>2009</v>
      </c>
      <c r="B239" t="s">
        <v>40</v>
      </c>
      <c r="C239" s="1">
        <v>19563</v>
      </c>
    </row>
    <row r="240" spans="1:3" x14ac:dyDescent="0.3">
      <c r="A240">
        <v>2009</v>
      </c>
      <c r="B240" t="s">
        <v>64</v>
      </c>
      <c r="C240">
        <v>438</v>
      </c>
    </row>
    <row r="241" spans="1:3" x14ac:dyDescent="0.3">
      <c r="A241">
        <v>2009</v>
      </c>
      <c r="B241" t="s">
        <v>41</v>
      </c>
      <c r="C241" s="1">
        <v>10852</v>
      </c>
    </row>
    <row r="242" spans="1:3" x14ac:dyDescent="0.3">
      <c r="A242">
        <v>2009</v>
      </c>
      <c r="B242" t="s">
        <v>66</v>
      </c>
      <c r="C242">
        <v>810</v>
      </c>
    </row>
    <row r="243" spans="1:3" x14ac:dyDescent="0.3">
      <c r="A243">
        <v>2009</v>
      </c>
      <c r="B243" t="s">
        <v>65</v>
      </c>
      <c r="C243" s="1">
        <v>1697</v>
      </c>
    </row>
    <row r="244" spans="1:3" x14ac:dyDescent="0.3">
      <c r="A244">
        <v>2009</v>
      </c>
      <c r="B244" t="s">
        <v>43</v>
      </c>
      <c r="C244" s="1">
        <v>5689</v>
      </c>
    </row>
    <row r="245" spans="1:3" x14ac:dyDescent="0.3">
      <c r="A245">
        <v>2009</v>
      </c>
      <c r="B245" t="s">
        <v>68</v>
      </c>
      <c r="C245">
        <v>55</v>
      </c>
    </row>
    <row r="246" spans="1:3" x14ac:dyDescent="0.3">
      <c r="A246">
        <v>2009</v>
      </c>
      <c r="B246" t="s">
        <v>24</v>
      </c>
      <c r="C246" s="1">
        <v>2142</v>
      </c>
    </row>
    <row r="247" spans="1:3" x14ac:dyDescent="0.3">
      <c r="A247">
        <v>2009</v>
      </c>
      <c r="B247" t="s">
        <v>69</v>
      </c>
      <c r="C247">
        <v>921</v>
      </c>
    </row>
    <row r="248" spans="1:3" x14ac:dyDescent="0.3">
      <c r="A248">
        <v>2009</v>
      </c>
      <c r="B248" t="s">
        <v>62</v>
      </c>
      <c r="C248" s="1">
        <v>2991</v>
      </c>
    </row>
    <row r="249" spans="1:3" x14ac:dyDescent="0.3">
      <c r="A249">
        <v>2009</v>
      </c>
      <c r="B249" t="s">
        <v>70</v>
      </c>
      <c r="C249">
        <v>712</v>
      </c>
    </row>
    <row r="250" spans="1:3" x14ac:dyDescent="0.3">
      <c r="A250">
        <v>2009</v>
      </c>
      <c r="B250" t="s">
        <v>63</v>
      </c>
      <c r="C250">
        <v>550</v>
      </c>
    </row>
    <row r="251" spans="1:3" x14ac:dyDescent="0.3">
      <c r="A251">
        <v>2010</v>
      </c>
      <c r="B251" t="s">
        <v>40</v>
      </c>
      <c r="C251">
        <v>0</v>
      </c>
    </row>
    <row r="252" spans="1:3" x14ac:dyDescent="0.3">
      <c r="A252">
        <v>2010</v>
      </c>
      <c r="B252" t="s">
        <v>41</v>
      </c>
      <c r="C252" s="1">
        <v>20851</v>
      </c>
    </row>
    <row r="253" spans="1:3" x14ac:dyDescent="0.3">
      <c r="A253">
        <v>2010</v>
      </c>
      <c r="B253" t="s">
        <v>43</v>
      </c>
      <c r="C253">
        <v>0</v>
      </c>
    </row>
    <row r="254" spans="1:3" x14ac:dyDescent="0.3">
      <c r="A254">
        <v>2010</v>
      </c>
      <c r="B254" t="s">
        <v>24</v>
      </c>
      <c r="C254">
        <v>0</v>
      </c>
    </row>
    <row r="255" spans="1:3" x14ac:dyDescent="0.3">
      <c r="A255">
        <v>2010</v>
      </c>
      <c r="B255" t="s">
        <v>62</v>
      </c>
      <c r="C255" s="1">
        <v>3545</v>
      </c>
    </row>
    <row r="256" spans="1:3" x14ac:dyDescent="0.3">
      <c r="A256">
        <v>2010</v>
      </c>
      <c r="B256" t="s">
        <v>63</v>
      </c>
      <c r="C256">
        <v>913</v>
      </c>
    </row>
    <row r="257" spans="1:4" x14ac:dyDescent="0.3">
      <c r="A257">
        <v>2011</v>
      </c>
      <c r="B257" t="s">
        <v>40</v>
      </c>
      <c r="C257" s="1">
        <v>27122</v>
      </c>
    </row>
    <row r="258" spans="1:4" x14ac:dyDescent="0.3">
      <c r="A258">
        <v>2011</v>
      </c>
      <c r="B258" t="s">
        <v>71</v>
      </c>
      <c r="C258">
        <v>435</v>
      </c>
    </row>
    <row r="259" spans="1:4" x14ac:dyDescent="0.3">
      <c r="A259">
        <v>2011</v>
      </c>
      <c r="B259" t="s">
        <v>41</v>
      </c>
      <c r="C259" s="1">
        <v>18804</v>
      </c>
    </row>
    <row r="260" spans="1:4" x14ac:dyDescent="0.3">
      <c r="A260">
        <v>2011</v>
      </c>
      <c r="B260" t="s">
        <v>65</v>
      </c>
      <c r="C260" s="1">
        <v>2492</v>
      </c>
    </row>
    <row r="261" spans="1:4" x14ac:dyDescent="0.3">
      <c r="A261">
        <v>2011</v>
      </c>
      <c r="B261" t="s">
        <v>43</v>
      </c>
      <c r="C261" s="1">
        <v>9223</v>
      </c>
    </row>
    <row r="262" spans="1:4" x14ac:dyDescent="0.3">
      <c r="A262">
        <v>2011</v>
      </c>
      <c r="B262" t="s">
        <v>72</v>
      </c>
      <c r="C262">
        <v>422</v>
      </c>
    </row>
    <row r="263" spans="1:4" x14ac:dyDescent="0.3">
      <c r="A263">
        <v>2011</v>
      </c>
      <c r="B263" t="s">
        <v>24</v>
      </c>
      <c r="C263" s="1">
        <v>4526</v>
      </c>
    </row>
    <row r="264" spans="1:4" x14ac:dyDescent="0.3">
      <c r="A264">
        <v>2011</v>
      </c>
      <c r="B264" t="s">
        <v>69</v>
      </c>
      <c r="C264">
        <v>600</v>
      </c>
    </row>
    <row r="265" spans="1:4" x14ac:dyDescent="0.3">
      <c r="A265">
        <v>2011</v>
      </c>
      <c r="B265" t="s">
        <v>73</v>
      </c>
      <c r="C265" s="1">
        <v>1788</v>
      </c>
    </row>
    <row r="266" spans="1:4" x14ac:dyDescent="0.3">
      <c r="A266">
        <v>2011</v>
      </c>
      <c r="B266" t="s">
        <v>62</v>
      </c>
      <c r="C266" s="1">
        <v>4094</v>
      </c>
    </row>
    <row r="267" spans="1:4" x14ac:dyDescent="0.3">
      <c r="A267">
        <v>2011</v>
      </c>
      <c r="B267" t="s">
        <v>63</v>
      </c>
      <c r="C267">
        <v>932</v>
      </c>
    </row>
    <row r="268" spans="1:4" x14ac:dyDescent="0.3">
      <c r="A268">
        <v>2012</v>
      </c>
      <c r="B268" t="s">
        <v>40</v>
      </c>
      <c r="C268" s="1">
        <v>40908</v>
      </c>
    </row>
    <row r="269" spans="1:4" x14ac:dyDescent="0.3">
      <c r="A269">
        <v>2012</v>
      </c>
      <c r="B269" t="s">
        <v>71</v>
      </c>
      <c r="D269" t="s">
        <v>74</v>
      </c>
    </row>
    <row r="270" spans="1:4" x14ac:dyDescent="0.3">
      <c r="A270">
        <v>2012</v>
      </c>
      <c r="B270" t="s">
        <v>41</v>
      </c>
      <c r="C270" s="1">
        <v>23947</v>
      </c>
    </row>
    <row r="271" spans="1:4" x14ac:dyDescent="0.3">
      <c r="A271">
        <v>2012</v>
      </c>
      <c r="B271" t="s">
        <v>65</v>
      </c>
      <c r="C271" s="1">
        <v>1863</v>
      </c>
      <c r="D271" t="s">
        <v>74</v>
      </c>
    </row>
    <row r="272" spans="1:4" x14ac:dyDescent="0.3">
      <c r="A272">
        <v>2012</v>
      </c>
      <c r="B272" t="s">
        <v>75</v>
      </c>
      <c r="C272" s="1">
        <v>3500</v>
      </c>
    </row>
    <row r="273" spans="1:4" x14ac:dyDescent="0.3">
      <c r="A273">
        <v>2012</v>
      </c>
      <c r="B273" t="s">
        <v>76</v>
      </c>
      <c r="C273">
        <v>500</v>
      </c>
    </row>
    <row r="274" spans="1:4" x14ac:dyDescent="0.3">
      <c r="A274">
        <v>2012</v>
      </c>
      <c r="B274" t="s">
        <v>77</v>
      </c>
      <c r="C274">
        <v>500</v>
      </c>
    </row>
    <row r="275" spans="1:4" x14ac:dyDescent="0.3">
      <c r="A275">
        <v>2012</v>
      </c>
      <c r="B275" t="s">
        <v>78</v>
      </c>
      <c r="C275">
        <v>50</v>
      </c>
    </row>
    <row r="276" spans="1:4" x14ac:dyDescent="0.3">
      <c r="A276">
        <v>2012</v>
      </c>
      <c r="B276" t="s">
        <v>73</v>
      </c>
      <c r="C276">
        <v>0</v>
      </c>
    </row>
    <row r="277" spans="1:4" x14ac:dyDescent="0.3">
      <c r="A277">
        <v>2012</v>
      </c>
      <c r="B277" t="s">
        <v>43</v>
      </c>
      <c r="C277" s="1">
        <v>14337</v>
      </c>
    </row>
    <row r="278" spans="1:4" x14ac:dyDescent="0.3">
      <c r="A278">
        <v>2012</v>
      </c>
      <c r="B278" t="s">
        <v>24</v>
      </c>
      <c r="C278" s="1">
        <v>4066</v>
      </c>
    </row>
    <row r="279" spans="1:4" x14ac:dyDescent="0.3">
      <c r="A279">
        <v>2012</v>
      </c>
      <c r="B279" t="s">
        <v>69</v>
      </c>
      <c r="C279">
        <v>710</v>
      </c>
      <c r="D279" t="s">
        <v>74</v>
      </c>
    </row>
    <row r="280" spans="1:4" x14ac:dyDescent="0.3">
      <c r="A280">
        <v>2012</v>
      </c>
      <c r="B280" t="s">
        <v>79</v>
      </c>
      <c r="C280">
        <v>0</v>
      </c>
    </row>
    <row r="281" spans="1:4" x14ac:dyDescent="0.3">
      <c r="A281">
        <v>2012</v>
      </c>
      <c r="B281" t="s">
        <v>62</v>
      </c>
      <c r="C281" s="1">
        <v>3910</v>
      </c>
    </row>
    <row r="282" spans="1:4" x14ac:dyDescent="0.3">
      <c r="A282">
        <v>2012</v>
      </c>
      <c r="B282" t="s">
        <v>63</v>
      </c>
      <c r="C282">
        <v>896</v>
      </c>
    </row>
    <row r="283" spans="1:4" x14ac:dyDescent="0.3">
      <c r="A283">
        <v>2012</v>
      </c>
      <c r="B283" t="s">
        <v>80</v>
      </c>
      <c r="C283">
        <v>50</v>
      </c>
    </row>
    <row r="284" spans="1:4" x14ac:dyDescent="0.3">
      <c r="A284">
        <v>2013</v>
      </c>
      <c r="B284" t="s">
        <v>40</v>
      </c>
      <c r="C284">
        <v>0</v>
      </c>
    </row>
    <row r="285" spans="1:4" x14ac:dyDescent="0.3">
      <c r="A285">
        <v>2013</v>
      </c>
      <c r="B285" t="s">
        <v>71</v>
      </c>
      <c r="C285">
        <v>0</v>
      </c>
    </row>
    <row r="286" spans="1:4" x14ac:dyDescent="0.3">
      <c r="A286">
        <v>2013</v>
      </c>
      <c r="B286" t="s">
        <v>41</v>
      </c>
      <c r="C286">
        <v>0</v>
      </c>
    </row>
    <row r="287" spans="1:4" x14ac:dyDescent="0.3">
      <c r="A287">
        <v>2013</v>
      </c>
      <c r="B287" t="s">
        <v>65</v>
      </c>
      <c r="C287">
        <v>0</v>
      </c>
    </row>
    <row r="288" spans="1:4" x14ac:dyDescent="0.3">
      <c r="A288">
        <v>2013</v>
      </c>
      <c r="B288" t="s">
        <v>75</v>
      </c>
      <c r="C288">
        <v>0</v>
      </c>
    </row>
    <row r="289" spans="1:3" x14ac:dyDescent="0.3">
      <c r="A289">
        <v>2013</v>
      </c>
      <c r="B289" t="s">
        <v>76</v>
      </c>
      <c r="C289">
        <v>0</v>
      </c>
    </row>
    <row r="290" spans="1:3" x14ac:dyDescent="0.3">
      <c r="A290">
        <v>2013</v>
      </c>
      <c r="B290" t="s">
        <v>43</v>
      </c>
      <c r="C290">
        <v>0</v>
      </c>
    </row>
    <row r="291" spans="1:3" x14ac:dyDescent="0.3">
      <c r="A291">
        <v>2013</v>
      </c>
      <c r="B291" t="s">
        <v>72</v>
      </c>
      <c r="C291">
        <v>0</v>
      </c>
    </row>
    <row r="292" spans="1:3" x14ac:dyDescent="0.3">
      <c r="A292">
        <v>2013</v>
      </c>
      <c r="B292" t="s">
        <v>24</v>
      </c>
      <c r="C292">
        <v>0</v>
      </c>
    </row>
    <row r="293" spans="1:3" x14ac:dyDescent="0.3">
      <c r="A293">
        <v>2013</v>
      </c>
      <c r="B293" t="s">
        <v>62</v>
      </c>
      <c r="C293">
        <v>0</v>
      </c>
    </row>
    <row r="294" spans="1:3" x14ac:dyDescent="0.3">
      <c r="A294">
        <v>2013</v>
      </c>
      <c r="B294" t="s">
        <v>63</v>
      </c>
      <c r="C294">
        <v>0</v>
      </c>
    </row>
    <row r="295" spans="1:3" x14ac:dyDescent="0.3">
      <c r="A295">
        <v>2013</v>
      </c>
      <c r="B295" t="s">
        <v>80</v>
      </c>
      <c r="C295">
        <v>50</v>
      </c>
    </row>
    <row r="296" spans="1:3" x14ac:dyDescent="0.3">
      <c r="A296">
        <v>2014</v>
      </c>
      <c r="B296" t="s">
        <v>40</v>
      </c>
      <c r="C296">
        <v>0</v>
      </c>
    </row>
    <row r="297" spans="1:3" x14ac:dyDescent="0.3">
      <c r="A297">
        <v>2014</v>
      </c>
      <c r="B297" t="s">
        <v>41</v>
      </c>
      <c r="C297" s="1">
        <v>33246</v>
      </c>
    </row>
    <row r="298" spans="1:3" x14ac:dyDescent="0.3">
      <c r="A298">
        <v>2014</v>
      </c>
      <c r="B298" t="s">
        <v>73</v>
      </c>
      <c r="C298">
        <v>45</v>
      </c>
    </row>
    <row r="299" spans="1:3" x14ac:dyDescent="0.3">
      <c r="A299">
        <v>2014</v>
      </c>
      <c r="B299" t="s">
        <v>43</v>
      </c>
      <c r="C299">
        <v>0</v>
      </c>
    </row>
    <row r="300" spans="1:3" x14ac:dyDescent="0.3">
      <c r="A300">
        <v>2014</v>
      </c>
      <c r="B300" t="s">
        <v>24</v>
      </c>
      <c r="C300" s="1">
        <v>7543</v>
      </c>
    </row>
    <row r="301" spans="1:3" x14ac:dyDescent="0.3">
      <c r="A301">
        <v>2014</v>
      </c>
      <c r="B301" t="s">
        <v>79</v>
      </c>
      <c r="C301">
        <v>5</v>
      </c>
    </row>
    <row r="302" spans="1:3" x14ac:dyDescent="0.3">
      <c r="A302">
        <v>2014</v>
      </c>
      <c r="B302" t="s">
        <v>62</v>
      </c>
      <c r="C302">
        <v>0</v>
      </c>
    </row>
    <row r="303" spans="1:3" x14ac:dyDescent="0.3">
      <c r="A303">
        <v>2014</v>
      </c>
      <c r="B303" t="s">
        <v>63</v>
      </c>
      <c r="C303">
        <v>0</v>
      </c>
    </row>
    <row r="304" spans="1:3" x14ac:dyDescent="0.3">
      <c r="A304">
        <v>2015</v>
      </c>
      <c r="B304" t="s">
        <v>81</v>
      </c>
      <c r="C304">
        <v>0</v>
      </c>
    </row>
    <row r="305" spans="1:3" x14ac:dyDescent="0.3">
      <c r="A305">
        <v>2015</v>
      </c>
      <c r="B305" t="s">
        <v>82</v>
      </c>
      <c r="C305">
        <v>0</v>
      </c>
    </row>
    <row r="306" spans="1:3" x14ac:dyDescent="0.3">
      <c r="A306">
        <v>2015</v>
      </c>
      <c r="B306" t="s">
        <v>43</v>
      </c>
      <c r="C306">
        <v>0</v>
      </c>
    </row>
    <row r="307" spans="1:3" x14ac:dyDescent="0.3">
      <c r="A307">
        <v>2015</v>
      </c>
      <c r="B307" t="s">
        <v>24</v>
      </c>
      <c r="C307">
        <v>0</v>
      </c>
    </row>
    <row r="308" spans="1:3" x14ac:dyDescent="0.3">
      <c r="A308">
        <v>2015</v>
      </c>
      <c r="B308" t="s">
        <v>83</v>
      </c>
      <c r="C308">
        <v>0</v>
      </c>
    </row>
    <row r="309" spans="1:3" x14ac:dyDescent="0.3">
      <c r="A309">
        <v>2015</v>
      </c>
      <c r="B309" t="s">
        <v>84</v>
      </c>
      <c r="C309">
        <v>0</v>
      </c>
    </row>
    <row r="310" spans="1:3" x14ac:dyDescent="0.3">
      <c r="A310">
        <v>2016</v>
      </c>
      <c r="B310" t="s">
        <v>81</v>
      </c>
      <c r="C310">
        <v>0</v>
      </c>
    </row>
    <row r="311" spans="1:3" x14ac:dyDescent="0.3">
      <c r="A311">
        <v>2016</v>
      </c>
      <c r="B311" t="s">
        <v>82</v>
      </c>
      <c r="C311">
        <v>0</v>
      </c>
    </row>
    <row r="312" spans="1:3" x14ac:dyDescent="0.3">
      <c r="A312">
        <v>2016</v>
      </c>
      <c r="B312" t="s">
        <v>43</v>
      </c>
      <c r="C312">
        <v>0</v>
      </c>
    </row>
    <row r="313" spans="1:3" x14ac:dyDescent="0.3">
      <c r="A313">
        <v>2016</v>
      </c>
      <c r="B313" t="s">
        <v>24</v>
      </c>
      <c r="C313">
        <v>0</v>
      </c>
    </row>
    <row r="314" spans="1:3" x14ac:dyDescent="0.3">
      <c r="A314">
        <v>2016</v>
      </c>
      <c r="B314" t="s">
        <v>85</v>
      </c>
      <c r="C314">
        <v>0</v>
      </c>
    </row>
    <row r="315" spans="1:3" x14ac:dyDescent="0.3">
      <c r="A315">
        <v>2016</v>
      </c>
      <c r="B315" t="s">
        <v>83</v>
      </c>
      <c r="C315">
        <v>0</v>
      </c>
    </row>
    <row r="316" spans="1:3" x14ac:dyDescent="0.3">
      <c r="A316">
        <v>2016</v>
      </c>
      <c r="B316" t="s">
        <v>84</v>
      </c>
      <c r="C316">
        <v>0</v>
      </c>
    </row>
    <row r="317" spans="1:3" x14ac:dyDescent="0.3">
      <c r="A317">
        <v>2017</v>
      </c>
      <c r="B317" t="s">
        <v>81</v>
      </c>
      <c r="C317">
        <v>0</v>
      </c>
    </row>
    <row r="318" spans="1:3" x14ac:dyDescent="0.3">
      <c r="A318">
        <v>2017</v>
      </c>
      <c r="B318" t="s">
        <v>82</v>
      </c>
      <c r="C318">
        <v>0</v>
      </c>
    </row>
    <row r="319" spans="1:3" x14ac:dyDescent="0.3">
      <c r="A319">
        <v>2017</v>
      </c>
      <c r="B319" t="s">
        <v>43</v>
      </c>
      <c r="C319">
        <v>0</v>
      </c>
    </row>
    <row r="320" spans="1:3" x14ac:dyDescent="0.3">
      <c r="A320">
        <v>2017</v>
      </c>
      <c r="B320" t="s">
        <v>24</v>
      </c>
      <c r="C320">
        <v>0</v>
      </c>
    </row>
    <row r="321" spans="1:3" x14ac:dyDescent="0.3">
      <c r="A321">
        <v>2017</v>
      </c>
      <c r="B321" t="s">
        <v>85</v>
      </c>
      <c r="C321">
        <v>0</v>
      </c>
    </row>
    <row r="322" spans="1:3" x14ac:dyDescent="0.3">
      <c r="A322">
        <v>2017</v>
      </c>
      <c r="B322" t="s">
        <v>83</v>
      </c>
      <c r="C322">
        <v>0</v>
      </c>
    </row>
    <row r="323" spans="1:3" x14ac:dyDescent="0.3">
      <c r="A323">
        <v>2017</v>
      </c>
      <c r="B323" t="s">
        <v>84</v>
      </c>
      <c r="C323">
        <v>0</v>
      </c>
    </row>
    <row r="324" spans="1:3" x14ac:dyDescent="0.3">
      <c r="A324">
        <v>2018</v>
      </c>
      <c r="B324" t="s">
        <v>82</v>
      </c>
      <c r="C324">
        <v>0</v>
      </c>
    </row>
    <row r="325" spans="1:3" x14ac:dyDescent="0.3">
      <c r="A325">
        <v>2018</v>
      </c>
      <c r="B325" t="s">
        <v>24</v>
      </c>
      <c r="C325">
        <v>0</v>
      </c>
    </row>
    <row r="326" spans="1:3" x14ac:dyDescent="0.3">
      <c r="A326">
        <v>2018</v>
      </c>
      <c r="B326" t="s">
        <v>85</v>
      </c>
      <c r="C326">
        <v>0</v>
      </c>
    </row>
    <row r="327" spans="1:3" x14ac:dyDescent="0.3">
      <c r="A327">
        <v>2018</v>
      </c>
      <c r="B327" t="s">
        <v>83</v>
      </c>
      <c r="C327">
        <v>0</v>
      </c>
    </row>
    <row r="328" spans="1:3" x14ac:dyDescent="0.3">
      <c r="A328">
        <v>2018</v>
      </c>
      <c r="B328" t="s">
        <v>84</v>
      </c>
      <c r="C328">
        <v>0</v>
      </c>
    </row>
    <row r="329" spans="1:3" x14ac:dyDescent="0.3">
      <c r="A329">
        <v>2019</v>
      </c>
      <c r="B329" t="s">
        <v>82</v>
      </c>
      <c r="C329">
        <v>0</v>
      </c>
    </row>
    <row r="330" spans="1:3" x14ac:dyDescent="0.3">
      <c r="A330">
        <v>2019</v>
      </c>
      <c r="B330" t="s">
        <v>24</v>
      </c>
      <c r="C330">
        <v>0</v>
      </c>
    </row>
    <row r="331" spans="1:3" x14ac:dyDescent="0.3">
      <c r="A331">
        <v>2019</v>
      </c>
      <c r="B331" t="s">
        <v>85</v>
      </c>
      <c r="C331">
        <v>0</v>
      </c>
    </row>
    <row r="332" spans="1:3" x14ac:dyDescent="0.3">
      <c r="A332">
        <v>2019</v>
      </c>
      <c r="B332" t="s">
        <v>86</v>
      </c>
      <c r="C332">
        <v>0</v>
      </c>
    </row>
    <row r="333" spans="1:3" x14ac:dyDescent="0.3">
      <c r="A333">
        <v>2019</v>
      </c>
      <c r="B333" t="s">
        <v>83</v>
      </c>
      <c r="C333">
        <v>0</v>
      </c>
    </row>
    <row r="334" spans="1:3" x14ac:dyDescent="0.3">
      <c r="A334">
        <v>2019</v>
      </c>
      <c r="B334" t="s">
        <v>84</v>
      </c>
      <c r="C334"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F8F4-6CB5-43D1-9352-A8A0C1DB7609}">
  <dimension ref="A1:D7"/>
  <sheetViews>
    <sheetView workbookViewId="0">
      <selection activeCell="E26" sqref="E26"/>
    </sheetView>
  </sheetViews>
  <sheetFormatPr defaultRowHeight="14.4" x14ac:dyDescent="0.3"/>
  <cols>
    <col min="1" max="1" width="13.6640625" bestFit="1" customWidth="1"/>
    <col min="3" max="3" width="7.109375" bestFit="1" customWidth="1"/>
    <col min="4" max="4" width="9.33203125" bestFit="1" customWidth="1"/>
  </cols>
  <sheetData>
    <row r="1" spans="1:4" x14ac:dyDescent="0.3">
      <c r="A1" t="s">
        <v>87</v>
      </c>
      <c r="B1" t="s">
        <v>0</v>
      </c>
      <c r="C1" t="s">
        <v>88</v>
      </c>
      <c r="D1" t="s">
        <v>89</v>
      </c>
    </row>
    <row r="2" spans="1:4" x14ac:dyDescent="0.3">
      <c r="A2" t="s">
        <v>90</v>
      </c>
      <c r="B2" s="1">
        <v>2979130</v>
      </c>
      <c r="D2">
        <v>30.02</v>
      </c>
    </row>
    <row r="3" spans="1:4" x14ac:dyDescent="0.3">
      <c r="A3" t="s">
        <v>91</v>
      </c>
      <c r="B3" s="1">
        <v>1107718</v>
      </c>
      <c r="C3">
        <v>-62.82</v>
      </c>
      <c r="D3">
        <v>11.16</v>
      </c>
    </row>
    <row r="4" spans="1:4" x14ac:dyDescent="0.3">
      <c r="A4" t="s">
        <v>92</v>
      </c>
      <c r="B4" s="1">
        <v>2608705</v>
      </c>
      <c r="C4">
        <v>135.5</v>
      </c>
      <c r="D4">
        <v>26.28</v>
      </c>
    </row>
    <row r="5" spans="1:4" x14ac:dyDescent="0.3">
      <c r="A5" t="s">
        <v>93</v>
      </c>
      <c r="B5" s="1">
        <v>1679285</v>
      </c>
      <c r="C5">
        <v>-35.630000000000003</v>
      </c>
      <c r="D5">
        <v>16.920000000000002</v>
      </c>
    </row>
    <row r="6" spans="1:4" x14ac:dyDescent="0.3">
      <c r="A6" t="s">
        <v>94</v>
      </c>
      <c r="B6" s="1">
        <v>1013642</v>
      </c>
      <c r="C6">
        <v>-39.64</v>
      </c>
      <c r="D6">
        <v>10.210000000000001</v>
      </c>
    </row>
    <row r="7" spans="1:4" x14ac:dyDescent="0.3">
      <c r="A7" t="s">
        <v>95</v>
      </c>
      <c r="B7" s="1">
        <v>536840</v>
      </c>
      <c r="C7">
        <v>-47.04</v>
      </c>
      <c r="D7">
        <v>5.41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756D-EE74-4E47-9553-9F786728015A}">
  <dimension ref="A3:B1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44140625" bestFit="1" customWidth="1"/>
  </cols>
  <sheetData>
    <row r="3" spans="1:2" x14ac:dyDescent="0.3">
      <c r="A3" s="2" t="s">
        <v>99</v>
      </c>
      <c r="B3" t="s">
        <v>101</v>
      </c>
    </row>
    <row r="4" spans="1:2" x14ac:dyDescent="0.3">
      <c r="A4" s="3">
        <v>1</v>
      </c>
      <c r="B4">
        <v>2979130</v>
      </c>
    </row>
    <row r="5" spans="1:2" x14ac:dyDescent="0.3">
      <c r="A5" s="3">
        <v>2</v>
      </c>
      <c r="B5">
        <v>1107718</v>
      </c>
    </row>
    <row r="6" spans="1:2" x14ac:dyDescent="0.3">
      <c r="A6" s="3">
        <v>3</v>
      </c>
      <c r="B6">
        <v>2608705</v>
      </c>
    </row>
    <row r="7" spans="1:2" x14ac:dyDescent="0.3">
      <c r="A7" s="3">
        <v>4</v>
      </c>
      <c r="B7">
        <v>1679285</v>
      </c>
    </row>
    <row r="8" spans="1:2" x14ac:dyDescent="0.3">
      <c r="A8" s="3">
        <v>5</v>
      </c>
      <c r="B8">
        <v>1090828</v>
      </c>
    </row>
    <row r="9" spans="1:2" x14ac:dyDescent="0.3">
      <c r="A9" s="3">
        <v>6</v>
      </c>
      <c r="B9">
        <v>536840</v>
      </c>
    </row>
    <row r="10" spans="1:2" x14ac:dyDescent="0.3">
      <c r="A10" s="3" t="s">
        <v>100</v>
      </c>
      <c r="B10">
        <v>10002506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9967-FF4E-4A97-88D6-400BC26EC191}">
  <dimension ref="A1:C58"/>
  <sheetViews>
    <sheetView workbookViewId="0">
      <selection activeCell="C1" sqref="C1:C1048576"/>
    </sheetView>
  </sheetViews>
  <sheetFormatPr defaultRowHeight="14.4" x14ac:dyDescent="0.3"/>
  <cols>
    <col min="3" max="3" width="9.77734375" bestFit="1" customWidth="1"/>
  </cols>
  <sheetData>
    <row r="1" spans="1:3" x14ac:dyDescent="0.3">
      <c r="A1" t="s">
        <v>97</v>
      </c>
      <c r="B1" t="s">
        <v>98</v>
      </c>
      <c r="C1" t="s">
        <v>96</v>
      </c>
    </row>
    <row r="2" spans="1:3" x14ac:dyDescent="0.3">
      <c r="A2">
        <v>1964</v>
      </c>
      <c r="B2" s="1">
        <v>121538</v>
      </c>
      <c r="C2">
        <v>1</v>
      </c>
    </row>
    <row r="3" spans="1:3" x14ac:dyDescent="0.3">
      <c r="A3">
        <v>1965</v>
      </c>
      <c r="B3" s="1">
        <v>559500</v>
      </c>
      <c r="C3">
        <v>1</v>
      </c>
    </row>
    <row r="4" spans="1:3" x14ac:dyDescent="0.3">
      <c r="A4">
        <v>1966</v>
      </c>
      <c r="B4" s="1">
        <v>607568</v>
      </c>
      <c r="C4">
        <v>1</v>
      </c>
    </row>
    <row r="5" spans="1:3" x14ac:dyDescent="0.3">
      <c r="A5">
        <v>1967</v>
      </c>
      <c r="B5" s="1">
        <v>472121</v>
      </c>
      <c r="C5">
        <v>1</v>
      </c>
    </row>
    <row r="6" spans="1:3" x14ac:dyDescent="0.3">
      <c r="A6">
        <v>1968</v>
      </c>
      <c r="B6" s="1">
        <v>317404</v>
      </c>
      <c r="C6">
        <v>1</v>
      </c>
    </row>
    <row r="7" spans="1:3" x14ac:dyDescent="0.3">
      <c r="A7">
        <v>1969</v>
      </c>
      <c r="B7" s="1">
        <v>299824</v>
      </c>
      <c r="C7">
        <v>1</v>
      </c>
    </row>
    <row r="8" spans="1:3" x14ac:dyDescent="0.3">
      <c r="A8">
        <v>1970</v>
      </c>
      <c r="B8" s="1">
        <v>190727</v>
      </c>
      <c r="C8">
        <v>1</v>
      </c>
    </row>
    <row r="9" spans="1:3" x14ac:dyDescent="0.3">
      <c r="A9">
        <v>1971</v>
      </c>
      <c r="B9" s="1">
        <v>149678</v>
      </c>
      <c r="C9">
        <v>1</v>
      </c>
    </row>
    <row r="10" spans="1:3" x14ac:dyDescent="0.3">
      <c r="A10">
        <v>1972</v>
      </c>
      <c r="B10" s="1">
        <v>125903</v>
      </c>
      <c r="C10">
        <v>1</v>
      </c>
    </row>
    <row r="11" spans="1:3" x14ac:dyDescent="0.3">
      <c r="A11">
        <v>1973</v>
      </c>
      <c r="B11" s="1">
        <v>134867</v>
      </c>
      <c r="C11">
        <v>1</v>
      </c>
    </row>
    <row r="12" spans="1:3" x14ac:dyDescent="0.3">
      <c r="A12">
        <v>1974</v>
      </c>
      <c r="B12" s="1">
        <v>385993</v>
      </c>
      <c r="C12">
        <v>2</v>
      </c>
    </row>
    <row r="13" spans="1:3" x14ac:dyDescent="0.3">
      <c r="A13">
        <v>1975</v>
      </c>
      <c r="B13" s="1">
        <v>188575</v>
      </c>
      <c r="C13">
        <v>2</v>
      </c>
    </row>
    <row r="14" spans="1:3" x14ac:dyDescent="0.3">
      <c r="A14">
        <v>1976</v>
      </c>
      <c r="B14" s="1">
        <v>187567</v>
      </c>
      <c r="C14">
        <v>2</v>
      </c>
    </row>
    <row r="15" spans="1:3" x14ac:dyDescent="0.3">
      <c r="A15">
        <v>1977</v>
      </c>
      <c r="B15" s="1">
        <v>153173</v>
      </c>
      <c r="C15">
        <v>2</v>
      </c>
    </row>
    <row r="16" spans="1:3" x14ac:dyDescent="0.3">
      <c r="A16">
        <v>1978</v>
      </c>
      <c r="B16" s="1">
        <v>192410</v>
      </c>
      <c r="C16">
        <v>2</v>
      </c>
    </row>
    <row r="17" spans="1:3" x14ac:dyDescent="0.3">
      <c r="A17">
        <v>1979</v>
      </c>
      <c r="B17" s="1">
        <v>369936</v>
      </c>
      <c r="C17">
        <v>3</v>
      </c>
    </row>
    <row r="18" spans="1:3" x14ac:dyDescent="0.3">
      <c r="A18">
        <v>1980</v>
      </c>
      <c r="B18" s="1">
        <v>271322</v>
      </c>
      <c r="C18">
        <v>3</v>
      </c>
    </row>
    <row r="19" spans="1:3" x14ac:dyDescent="0.3">
      <c r="A19">
        <v>1981</v>
      </c>
      <c r="B19" s="1">
        <v>182552</v>
      </c>
      <c r="C19">
        <v>3</v>
      </c>
    </row>
    <row r="20" spans="1:3" x14ac:dyDescent="0.3">
      <c r="A20">
        <v>1982</v>
      </c>
      <c r="B20" s="1">
        <v>130418</v>
      </c>
      <c r="C20">
        <v>3</v>
      </c>
    </row>
    <row r="21" spans="1:3" x14ac:dyDescent="0.3">
      <c r="A21">
        <v>1983</v>
      </c>
      <c r="B21" s="1">
        <v>120873</v>
      </c>
      <c r="C21">
        <v>3</v>
      </c>
    </row>
    <row r="22" spans="1:3" x14ac:dyDescent="0.3">
      <c r="A22">
        <v>1984</v>
      </c>
      <c r="B22" s="1">
        <v>141480</v>
      </c>
      <c r="C22">
        <v>3</v>
      </c>
    </row>
    <row r="23" spans="1:3" x14ac:dyDescent="0.3">
      <c r="A23">
        <v>1985</v>
      </c>
      <c r="B23" s="1">
        <v>156514</v>
      </c>
      <c r="C23">
        <v>3</v>
      </c>
    </row>
    <row r="24" spans="1:3" x14ac:dyDescent="0.3">
      <c r="A24">
        <v>1986</v>
      </c>
      <c r="B24" s="1">
        <v>224410</v>
      </c>
      <c r="C24">
        <v>3</v>
      </c>
    </row>
    <row r="25" spans="1:3" x14ac:dyDescent="0.3">
      <c r="A25">
        <v>1987</v>
      </c>
      <c r="B25" s="1">
        <v>169772</v>
      </c>
      <c r="C25">
        <v>3</v>
      </c>
    </row>
    <row r="26" spans="1:3" x14ac:dyDescent="0.3">
      <c r="A26">
        <v>1988</v>
      </c>
      <c r="B26" s="1">
        <v>211225</v>
      </c>
      <c r="C26">
        <v>3</v>
      </c>
    </row>
    <row r="27" spans="1:3" x14ac:dyDescent="0.3">
      <c r="A27">
        <v>1989</v>
      </c>
      <c r="B27" s="1">
        <v>209769</v>
      </c>
      <c r="C27">
        <v>3</v>
      </c>
    </row>
    <row r="28" spans="1:3" x14ac:dyDescent="0.3">
      <c r="A28">
        <v>1990</v>
      </c>
      <c r="B28" s="1">
        <v>128189</v>
      </c>
      <c r="C28">
        <v>3</v>
      </c>
    </row>
    <row r="29" spans="1:3" x14ac:dyDescent="0.3">
      <c r="A29">
        <v>1991</v>
      </c>
      <c r="B29" s="1">
        <v>98737</v>
      </c>
      <c r="C29">
        <v>3</v>
      </c>
    </row>
    <row r="30" spans="1:3" x14ac:dyDescent="0.3">
      <c r="A30">
        <v>1992</v>
      </c>
      <c r="B30" s="1">
        <v>79280</v>
      </c>
      <c r="C30">
        <v>3</v>
      </c>
    </row>
    <row r="31" spans="1:3" x14ac:dyDescent="0.3">
      <c r="A31">
        <v>1993</v>
      </c>
      <c r="B31" s="1">
        <v>114228</v>
      </c>
      <c r="C31">
        <v>3</v>
      </c>
    </row>
    <row r="32" spans="1:3" x14ac:dyDescent="0.3">
      <c r="A32">
        <v>1994</v>
      </c>
      <c r="B32" s="1">
        <v>123198</v>
      </c>
      <c r="C32">
        <v>4</v>
      </c>
    </row>
    <row r="33" spans="1:3" x14ac:dyDescent="0.3">
      <c r="A33">
        <v>1995</v>
      </c>
      <c r="B33" s="1">
        <v>185986</v>
      </c>
      <c r="C33">
        <v>4</v>
      </c>
    </row>
    <row r="34" spans="1:3" x14ac:dyDescent="0.3">
      <c r="A34">
        <v>1996</v>
      </c>
      <c r="B34" s="1">
        <v>135620</v>
      </c>
      <c r="C34">
        <v>4</v>
      </c>
    </row>
    <row r="35" spans="1:3" x14ac:dyDescent="0.3">
      <c r="A35">
        <v>1997</v>
      </c>
      <c r="B35" s="1">
        <v>108344</v>
      </c>
      <c r="C35">
        <v>4</v>
      </c>
    </row>
    <row r="36" spans="1:3" x14ac:dyDescent="0.3">
      <c r="A36">
        <v>1998</v>
      </c>
      <c r="B36" s="1">
        <v>175522</v>
      </c>
      <c r="C36">
        <v>4</v>
      </c>
    </row>
    <row r="37" spans="1:3" x14ac:dyDescent="0.3">
      <c r="A37">
        <v>1999</v>
      </c>
      <c r="B37" s="1">
        <v>133637</v>
      </c>
      <c r="C37">
        <v>4</v>
      </c>
    </row>
    <row r="38" spans="1:3" x14ac:dyDescent="0.3">
      <c r="A38">
        <v>2000</v>
      </c>
      <c r="B38" s="1">
        <v>215239</v>
      </c>
      <c r="C38">
        <v>4</v>
      </c>
    </row>
    <row r="39" spans="1:3" x14ac:dyDescent="0.3">
      <c r="A39">
        <v>2001</v>
      </c>
      <c r="B39" s="1">
        <v>163818</v>
      </c>
      <c r="C39">
        <v>4</v>
      </c>
    </row>
    <row r="40" spans="1:3" x14ac:dyDescent="0.3">
      <c r="A40">
        <v>2002</v>
      </c>
      <c r="B40" s="1">
        <v>142647</v>
      </c>
      <c r="C40">
        <v>4</v>
      </c>
    </row>
    <row r="41" spans="1:3" x14ac:dyDescent="0.3">
      <c r="A41">
        <v>2003</v>
      </c>
      <c r="B41" s="1">
        <v>153367</v>
      </c>
      <c r="C41">
        <v>4</v>
      </c>
    </row>
    <row r="42" spans="1:3" x14ac:dyDescent="0.3">
      <c r="A42">
        <v>2004</v>
      </c>
      <c r="B42" s="1">
        <v>141907</v>
      </c>
      <c r="C42">
        <v>4</v>
      </c>
    </row>
    <row r="43" spans="1:3" x14ac:dyDescent="0.3">
      <c r="A43">
        <v>2005</v>
      </c>
      <c r="B43" s="1">
        <v>160412</v>
      </c>
      <c r="C43">
        <v>5</v>
      </c>
    </row>
    <row r="44" spans="1:3" x14ac:dyDescent="0.3">
      <c r="A44">
        <v>2006</v>
      </c>
      <c r="B44" s="1">
        <v>166262</v>
      </c>
      <c r="C44">
        <v>5</v>
      </c>
    </row>
    <row r="45" spans="1:3" x14ac:dyDescent="0.3">
      <c r="A45">
        <v>2007</v>
      </c>
      <c r="B45" s="1">
        <v>158180</v>
      </c>
      <c r="C45">
        <v>5</v>
      </c>
    </row>
    <row r="46" spans="1:3" x14ac:dyDescent="0.3">
      <c r="A46">
        <v>2008</v>
      </c>
      <c r="B46" s="1">
        <v>108767</v>
      </c>
      <c r="C46">
        <v>5</v>
      </c>
    </row>
    <row r="47" spans="1:3" x14ac:dyDescent="0.3">
      <c r="A47">
        <v>2009</v>
      </c>
      <c r="B47" s="1">
        <v>46420</v>
      </c>
      <c r="C47">
        <v>5</v>
      </c>
    </row>
    <row r="48" spans="1:3" x14ac:dyDescent="0.3">
      <c r="A48">
        <v>2010</v>
      </c>
      <c r="B48" s="1">
        <v>81024</v>
      </c>
      <c r="C48">
        <v>5</v>
      </c>
    </row>
    <row r="49" spans="1:3" x14ac:dyDescent="0.3">
      <c r="A49">
        <v>2011</v>
      </c>
      <c r="B49" s="1">
        <v>70438</v>
      </c>
      <c r="C49">
        <v>5</v>
      </c>
    </row>
    <row r="50" spans="1:3" x14ac:dyDescent="0.3">
      <c r="A50">
        <v>2012</v>
      </c>
      <c r="B50" s="1">
        <v>88064</v>
      </c>
      <c r="C50">
        <v>5</v>
      </c>
    </row>
    <row r="51" spans="1:3" x14ac:dyDescent="0.3">
      <c r="A51">
        <v>2013</v>
      </c>
      <c r="B51" s="1">
        <v>77186</v>
      </c>
      <c r="C51">
        <v>5</v>
      </c>
    </row>
    <row r="52" spans="1:3" x14ac:dyDescent="0.3">
      <c r="A52">
        <v>2014</v>
      </c>
      <c r="B52" s="1">
        <v>134075</v>
      </c>
      <c r="C52">
        <v>5</v>
      </c>
    </row>
    <row r="53" spans="1:3" x14ac:dyDescent="0.3">
      <c r="A53">
        <v>2015</v>
      </c>
      <c r="B53" s="1">
        <v>165100</v>
      </c>
      <c r="C53">
        <v>6</v>
      </c>
    </row>
    <row r="54" spans="1:3" x14ac:dyDescent="0.3">
      <c r="A54">
        <v>2016</v>
      </c>
      <c r="B54" s="1">
        <v>142400</v>
      </c>
      <c r="C54">
        <v>6</v>
      </c>
    </row>
    <row r="55" spans="1:3" x14ac:dyDescent="0.3">
      <c r="A55">
        <v>2017</v>
      </c>
      <c r="B55" s="1">
        <v>120800</v>
      </c>
      <c r="C55">
        <v>6</v>
      </c>
    </row>
    <row r="56" spans="1:3" x14ac:dyDescent="0.3">
      <c r="A56">
        <v>2018</v>
      </c>
      <c r="B56" s="1">
        <v>108540</v>
      </c>
      <c r="C56">
        <v>6</v>
      </c>
    </row>
    <row r="57" spans="1:3" x14ac:dyDescent="0.3">
      <c r="A57">
        <v>2019</v>
      </c>
      <c r="B57">
        <v>0</v>
      </c>
      <c r="C57">
        <v>6</v>
      </c>
    </row>
    <row r="58" spans="1:3" x14ac:dyDescent="0.3">
      <c r="A58">
        <v>2020</v>
      </c>
      <c r="B58">
        <v>0</v>
      </c>
      <c r="C58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C092-7646-40A1-8BF6-D95D2DEC1AD7}">
  <dimension ref="A1:E60"/>
  <sheetViews>
    <sheetView workbookViewId="0">
      <selection activeCell="E3" sqref="E3"/>
    </sheetView>
  </sheetViews>
  <sheetFormatPr defaultRowHeight="14.4" x14ac:dyDescent="0.3"/>
  <sheetData>
    <row r="1" spans="1:5" x14ac:dyDescent="0.3">
      <c r="A1" t="s">
        <v>97</v>
      </c>
      <c r="B1" t="s">
        <v>105</v>
      </c>
      <c r="C1" t="s">
        <v>104</v>
      </c>
    </row>
    <row r="2" spans="1:5" x14ac:dyDescent="0.3">
      <c r="A2">
        <v>1964</v>
      </c>
      <c r="B2" s="1">
        <v>121538</v>
      </c>
      <c r="C2" s="1">
        <v>121538</v>
      </c>
      <c r="D2" t="b">
        <f>IF(B2=C2,TRUE,FALSE)</f>
        <v>1</v>
      </c>
      <c r="E2">
        <f>COUNT(C2:C60)</f>
        <v>59</v>
      </c>
    </row>
    <row r="3" spans="1:5" x14ac:dyDescent="0.3">
      <c r="A3">
        <v>1965</v>
      </c>
      <c r="B3" s="1">
        <v>559500</v>
      </c>
      <c r="C3" s="1">
        <v>559451</v>
      </c>
      <c r="D3" t="b">
        <f t="shared" ref="D3:D60" si="0">IF(B3=C3,TRUE,FALSE)</f>
        <v>0</v>
      </c>
      <c r="E3">
        <f>COUNTIF(D2:D60,TRUE)</f>
        <v>27</v>
      </c>
    </row>
    <row r="4" spans="1:5" x14ac:dyDescent="0.3">
      <c r="A4">
        <v>1966</v>
      </c>
      <c r="B4" s="1">
        <v>607568</v>
      </c>
      <c r="C4" s="1">
        <v>607568</v>
      </c>
      <c r="D4" t="b">
        <f t="shared" si="0"/>
        <v>1</v>
      </c>
    </row>
    <row r="5" spans="1:5" x14ac:dyDescent="0.3">
      <c r="A5">
        <v>1967</v>
      </c>
      <c r="B5" s="1">
        <v>472121</v>
      </c>
      <c r="C5" s="1">
        <v>472121</v>
      </c>
      <c r="D5" t="b">
        <f t="shared" si="0"/>
        <v>1</v>
      </c>
    </row>
    <row r="6" spans="1:5" x14ac:dyDescent="0.3">
      <c r="A6">
        <v>1968</v>
      </c>
      <c r="B6" s="1">
        <v>317404</v>
      </c>
      <c r="C6" s="1">
        <v>317404</v>
      </c>
      <c r="D6" t="b">
        <f t="shared" si="0"/>
        <v>1</v>
      </c>
    </row>
    <row r="7" spans="1:5" x14ac:dyDescent="0.3">
      <c r="A7">
        <v>1969</v>
      </c>
      <c r="B7" s="1">
        <v>299824</v>
      </c>
      <c r="C7" s="1">
        <v>299824</v>
      </c>
      <c r="D7" t="b">
        <f t="shared" si="0"/>
        <v>1</v>
      </c>
    </row>
    <row r="8" spans="1:5" x14ac:dyDescent="0.3">
      <c r="A8">
        <v>1970</v>
      </c>
      <c r="B8" s="1">
        <v>190727</v>
      </c>
      <c r="C8" s="1">
        <v>191239</v>
      </c>
      <c r="D8" t="b">
        <f t="shared" si="0"/>
        <v>0</v>
      </c>
    </row>
    <row r="9" spans="1:5" x14ac:dyDescent="0.3">
      <c r="A9">
        <v>1971</v>
      </c>
      <c r="B9" s="1">
        <v>149678</v>
      </c>
      <c r="C9" s="1">
        <v>151484</v>
      </c>
      <c r="D9" t="b">
        <f t="shared" si="0"/>
        <v>0</v>
      </c>
    </row>
    <row r="10" spans="1:5" x14ac:dyDescent="0.3">
      <c r="A10">
        <v>1972</v>
      </c>
      <c r="B10" s="1">
        <v>125903</v>
      </c>
      <c r="C10" s="1">
        <v>125813</v>
      </c>
      <c r="D10" t="b">
        <f t="shared" si="0"/>
        <v>0</v>
      </c>
    </row>
    <row r="11" spans="1:5" x14ac:dyDescent="0.3">
      <c r="A11">
        <v>1973</v>
      </c>
      <c r="B11" s="1">
        <v>134867</v>
      </c>
      <c r="C11" s="1">
        <v>134817</v>
      </c>
      <c r="D11" t="b">
        <f t="shared" si="0"/>
        <v>0</v>
      </c>
    </row>
    <row r="12" spans="1:5" x14ac:dyDescent="0.3">
      <c r="A12">
        <v>1974</v>
      </c>
      <c r="B12" s="1">
        <v>385993</v>
      </c>
      <c r="C12" s="1">
        <v>385993</v>
      </c>
      <c r="D12" t="b">
        <f t="shared" si="0"/>
        <v>1</v>
      </c>
    </row>
    <row r="13" spans="1:5" x14ac:dyDescent="0.3">
      <c r="A13">
        <v>1975</v>
      </c>
      <c r="B13" s="1">
        <v>188575</v>
      </c>
      <c r="C13" s="1">
        <v>188575</v>
      </c>
      <c r="D13" t="b">
        <f t="shared" si="0"/>
        <v>1</v>
      </c>
    </row>
    <row r="14" spans="1:5" x14ac:dyDescent="0.3">
      <c r="A14">
        <v>1976</v>
      </c>
      <c r="B14" s="1">
        <v>187567</v>
      </c>
      <c r="C14" s="1">
        <v>187567</v>
      </c>
      <c r="D14" t="b">
        <f t="shared" si="0"/>
        <v>1</v>
      </c>
    </row>
    <row r="15" spans="1:5" x14ac:dyDescent="0.3">
      <c r="A15">
        <v>1977</v>
      </c>
      <c r="B15" s="1">
        <v>153173</v>
      </c>
      <c r="C15" s="1">
        <v>153173</v>
      </c>
      <c r="D15" t="b">
        <f t="shared" si="0"/>
        <v>1</v>
      </c>
    </row>
    <row r="16" spans="1:5" x14ac:dyDescent="0.3">
      <c r="A16">
        <v>1978</v>
      </c>
      <c r="B16" s="1">
        <v>192410</v>
      </c>
      <c r="C16" s="1">
        <v>192410</v>
      </c>
      <c r="D16" t="b">
        <f t="shared" si="0"/>
        <v>1</v>
      </c>
    </row>
    <row r="17" spans="1:4" x14ac:dyDescent="0.3">
      <c r="A17">
        <v>1979</v>
      </c>
      <c r="B17" s="1">
        <v>369936</v>
      </c>
      <c r="C17" s="1">
        <v>369936</v>
      </c>
      <c r="D17" t="b">
        <f t="shared" si="0"/>
        <v>1</v>
      </c>
    </row>
    <row r="18" spans="1:4" x14ac:dyDescent="0.3">
      <c r="A18">
        <v>1980</v>
      </c>
      <c r="B18" s="1">
        <v>271322</v>
      </c>
      <c r="C18" s="1">
        <v>271322</v>
      </c>
      <c r="D18" t="b">
        <f t="shared" si="0"/>
        <v>1</v>
      </c>
    </row>
    <row r="19" spans="1:4" x14ac:dyDescent="0.3">
      <c r="A19">
        <v>1981</v>
      </c>
      <c r="B19" s="1">
        <v>182552</v>
      </c>
      <c r="C19" s="1">
        <v>182552</v>
      </c>
      <c r="D19" t="b">
        <f t="shared" si="0"/>
        <v>1</v>
      </c>
    </row>
    <row r="20" spans="1:4" x14ac:dyDescent="0.3">
      <c r="A20">
        <v>1982</v>
      </c>
      <c r="B20" s="1">
        <v>130418</v>
      </c>
      <c r="C20" s="1">
        <v>130418</v>
      </c>
      <c r="D20" t="b">
        <f t="shared" si="0"/>
        <v>1</v>
      </c>
    </row>
    <row r="21" spans="1:4" x14ac:dyDescent="0.3">
      <c r="A21">
        <v>1983</v>
      </c>
      <c r="B21" s="1">
        <v>120873</v>
      </c>
      <c r="C21" s="1">
        <v>120873</v>
      </c>
      <c r="D21" t="b">
        <f t="shared" si="0"/>
        <v>1</v>
      </c>
    </row>
    <row r="22" spans="1:4" x14ac:dyDescent="0.3">
      <c r="A22">
        <v>1984</v>
      </c>
      <c r="B22" s="1">
        <v>141480</v>
      </c>
      <c r="C22" s="1">
        <v>141480</v>
      </c>
      <c r="D22" t="b">
        <f t="shared" si="0"/>
        <v>1</v>
      </c>
    </row>
    <row r="23" spans="1:4" x14ac:dyDescent="0.3">
      <c r="A23">
        <v>1985</v>
      </c>
      <c r="B23" s="1">
        <v>156514</v>
      </c>
      <c r="C23" s="1">
        <v>156514</v>
      </c>
      <c r="D23" t="b">
        <f t="shared" si="0"/>
        <v>1</v>
      </c>
    </row>
    <row r="24" spans="1:4" x14ac:dyDescent="0.3">
      <c r="A24">
        <v>1986</v>
      </c>
      <c r="B24" s="1">
        <v>224410</v>
      </c>
      <c r="C24" s="1">
        <v>224410</v>
      </c>
      <c r="D24" t="b">
        <f t="shared" si="0"/>
        <v>1</v>
      </c>
    </row>
    <row r="25" spans="1:4" x14ac:dyDescent="0.3">
      <c r="A25">
        <v>1987</v>
      </c>
      <c r="B25" s="1">
        <v>169772</v>
      </c>
      <c r="C25" s="1">
        <v>169772</v>
      </c>
      <c r="D25" t="b">
        <f t="shared" si="0"/>
        <v>1</v>
      </c>
    </row>
    <row r="26" spans="1:4" x14ac:dyDescent="0.3">
      <c r="A26">
        <v>1988</v>
      </c>
      <c r="B26" s="1">
        <v>211225</v>
      </c>
      <c r="C26" s="1">
        <v>211225</v>
      </c>
      <c r="D26" t="b">
        <f t="shared" si="0"/>
        <v>1</v>
      </c>
    </row>
    <row r="27" spans="1:4" x14ac:dyDescent="0.3">
      <c r="A27">
        <v>1989</v>
      </c>
      <c r="B27" s="1">
        <v>209769</v>
      </c>
      <c r="C27" s="1">
        <v>209769</v>
      </c>
      <c r="D27" t="b">
        <f t="shared" si="0"/>
        <v>1</v>
      </c>
    </row>
    <row r="28" spans="1:4" x14ac:dyDescent="0.3">
      <c r="A28">
        <v>1990</v>
      </c>
      <c r="B28" s="1">
        <v>128189</v>
      </c>
      <c r="C28" s="1">
        <v>128189</v>
      </c>
      <c r="D28" t="b">
        <f t="shared" si="0"/>
        <v>1</v>
      </c>
    </row>
    <row r="29" spans="1:4" x14ac:dyDescent="0.3">
      <c r="A29">
        <v>1991</v>
      </c>
      <c r="B29" s="1">
        <v>98737</v>
      </c>
      <c r="C29" s="1">
        <v>98737</v>
      </c>
      <c r="D29" t="b">
        <f t="shared" si="0"/>
        <v>1</v>
      </c>
    </row>
    <row r="30" spans="1:4" x14ac:dyDescent="0.3">
      <c r="A30">
        <v>1992</v>
      </c>
      <c r="B30" s="1">
        <v>79280</v>
      </c>
      <c r="C30" s="1">
        <v>79280</v>
      </c>
      <c r="D30" t="b">
        <f t="shared" si="0"/>
        <v>1</v>
      </c>
    </row>
    <row r="31" spans="1:4" x14ac:dyDescent="0.3">
      <c r="A31">
        <v>1993</v>
      </c>
      <c r="B31" s="1">
        <v>114228</v>
      </c>
      <c r="C31" s="1">
        <v>114335</v>
      </c>
      <c r="D31" t="b">
        <f t="shared" si="0"/>
        <v>0</v>
      </c>
    </row>
    <row r="32" spans="1:4" x14ac:dyDescent="0.3">
      <c r="A32">
        <v>1994</v>
      </c>
      <c r="B32" s="1">
        <v>123198</v>
      </c>
      <c r="C32" s="1">
        <v>123198</v>
      </c>
      <c r="D32" t="b">
        <f t="shared" si="0"/>
        <v>1</v>
      </c>
    </row>
    <row r="33" spans="1:4" x14ac:dyDescent="0.3">
      <c r="A33">
        <v>1995</v>
      </c>
      <c r="B33" s="1">
        <v>185986</v>
      </c>
      <c r="C33" s="1">
        <v>136962</v>
      </c>
      <c r="D33" t="b">
        <f t="shared" si="0"/>
        <v>0</v>
      </c>
    </row>
    <row r="34" spans="1:4" x14ac:dyDescent="0.3">
      <c r="A34">
        <v>1996</v>
      </c>
      <c r="B34" s="1">
        <v>135620</v>
      </c>
      <c r="C34" s="1">
        <v>122674</v>
      </c>
      <c r="D34" t="b">
        <f t="shared" si="0"/>
        <v>0</v>
      </c>
    </row>
    <row r="35" spans="1:4" x14ac:dyDescent="0.3">
      <c r="A35">
        <v>1997</v>
      </c>
      <c r="B35" s="1">
        <v>108344</v>
      </c>
      <c r="C35" s="1">
        <v>116610</v>
      </c>
      <c r="D35" t="b">
        <f t="shared" si="0"/>
        <v>0</v>
      </c>
    </row>
    <row r="36" spans="1:4" x14ac:dyDescent="0.3">
      <c r="A36">
        <v>1998</v>
      </c>
      <c r="B36" s="1">
        <v>175522</v>
      </c>
      <c r="C36" s="1">
        <v>144732</v>
      </c>
      <c r="D36" t="b">
        <f t="shared" si="0"/>
        <v>0</v>
      </c>
    </row>
    <row r="37" spans="1:4" x14ac:dyDescent="0.3">
      <c r="A37">
        <v>1999</v>
      </c>
      <c r="B37" s="1">
        <v>133637</v>
      </c>
      <c r="C37" s="1">
        <v>166915</v>
      </c>
      <c r="D37" t="b">
        <f t="shared" si="0"/>
        <v>0</v>
      </c>
    </row>
    <row r="38" spans="1:4" x14ac:dyDescent="0.3">
      <c r="A38">
        <v>2000</v>
      </c>
      <c r="B38" s="1">
        <v>215239</v>
      </c>
      <c r="C38" s="1">
        <v>173676</v>
      </c>
      <c r="D38" t="b">
        <f t="shared" si="0"/>
        <v>0</v>
      </c>
    </row>
    <row r="39" spans="1:4" x14ac:dyDescent="0.3">
      <c r="A39">
        <v>2001</v>
      </c>
      <c r="B39" s="1">
        <v>163818</v>
      </c>
      <c r="C39" s="1">
        <v>169198</v>
      </c>
      <c r="D39" t="b">
        <f t="shared" si="0"/>
        <v>0</v>
      </c>
    </row>
    <row r="40" spans="1:4" x14ac:dyDescent="0.3">
      <c r="A40">
        <v>2002</v>
      </c>
      <c r="B40" s="1">
        <v>142647</v>
      </c>
      <c r="C40" s="1">
        <v>138356</v>
      </c>
      <c r="D40" t="b">
        <f t="shared" si="0"/>
        <v>0</v>
      </c>
    </row>
    <row r="41" spans="1:4" x14ac:dyDescent="0.3">
      <c r="A41">
        <v>2003</v>
      </c>
      <c r="B41" s="1">
        <v>153367</v>
      </c>
      <c r="C41" s="1">
        <v>140350</v>
      </c>
      <c r="D41" t="b">
        <f t="shared" si="0"/>
        <v>0</v>
      </c>
    </row>
    <row r="42" spans="1:4" x14ac:dyDescent="0.3">
      <c r="A42">
        <v>2004</v>
      </c>
      <c r="B42" s="1">
        <v>141907</v>
      </c>
      <c r="C42" s="1">
        <v>129858</v>
      </c>
      <c r="D42" t="b">
        <f t="shared" si="0"/>
        <v>0</v>
      </c>
    </row>
    <row r="43" spans="1:4" x14ac:dyDescent="0.3">
      <c r="A43">
        <v>2005</v>
      </c>
      <c r="B43" s="1">
        <v>160412</v>
      </c>
      <c r="C43" s="1">
        <v>160975</v>
      </c>
      <c r="D43" t="b">
        <f t="shared" si="0"/>
        <v>0</v>
      </c>
    </row>
    <row r="44" spans="1:4" x14ac:dyDescent="0.3">
      <c r="A44">
        <v>2006</v>
      </c>
      <c r="B44" s="1">
        <v>166262</v>
      </c>
      <c r="C44" s="1">
        <v>166530</v>
      </c>
      <c r="D44" t="b">
        <f t="shared" si="0"/>
        <v>0</v>
      </c>
    </row>
    <row r="45" spans="1:4" x14ac:dyDescent="0.3">
      <c r="A45">
        <v>2007</v>
      </c>
      <c r="B45" s="1">
        <v>158180</v>
      </c>
      <c r="C45" s="1">
        <v>134626</v>
      </c>
      <c r="D45" t="b">
        <f t="shared" si="0"/>
        <v>0</v>
      </c>
    </row>
    <row r="46" spans="1:4" x14ac:dyDescent="0.3">
      <c r="A46">
        <v>2008</v>
      </c>
      <c r="B46" s="1">
        <v>108767</v>
      </c>
      <c r="C46" s="1">
        <v>91251</v>
      </c>
      <c r="D46" t="b">
        <f t="shared" si="0"/>
        <v>0</v>
      </c>
    </row>
    <row r="47" spans="1:4" x14ac:dyDescent="0.3">
      <c r="A47">
        <v>2009</v>
      </c>
      <c r="B47" s="1">
        <v>46420</v>
      </c>
      <c r="C47" s="1">
        <v>66623</v>
      </c>
      <c r="D47" t="b">
        <f t="shared" si="0"/>
        <v>0</v>
      </c>
    </row>
    <row r="48" spans="1:4" x14ac:dyDescent="0.3">
      <c r="A48">
        <v>2010</v>
      </c>
      <c r="B48" s="1">
        <v>81024</v>
      </c>
      <c r="C48" s="1">
        <v>73716</v>
      </c>
      <c r="D48" t="b">
        <f t="shared" si="0"/>
        <v>0</v>
      </c>
    </row>
    <row r="49" spans="1:4" x14ac:dyDescent="0.3">
      <c r="A49">
        <v>2011</v>
      </c>
      <c r="B49" s="1">
        <v>70438</v>
      </c>
      <c r="C49" s="1">
        <v>70438</v>
      </c>
      <c r="D49" t="b">
        <f t="shared" si="0"/>
        <v>1</v>
      </c>
    </row>
    <row r="50" spans="1:4" x14ac:dyDescent="0.3">
      <c r="A50">
        <v>2012</v>
      </c>
      <c r="B50" s="1">
        <v>88064</v>
      </c>
      <c r="C50" s="1">
        <v>82995</v>
      </c>
      <c r="D50" t="b">
        <f t="shared" si="0"/>
        <v>0</v>
      </c>
    </row>
    <row r="51" spans="1:4" x14ac:dyDescent="0.3">
      <c r="A51">
        <v>2013</v>
      </c>
      <c r="B51" s="1">
        <v>77186</v>
      </c>
      <c r="C51" s="1">
        <v>77186</v>
      </c>
      <c r="D51" t="b">
        <f t="shared" si="0"/>
        <v>1</v>
      </c>
    </row>
    <row r="52" spans="1:4" x14ac:dyDescent="0.3">
      <c r="A52">
        <v>2014</v>
      </c>
      <c r="B52" s="1">
        <v>134075</v>
      </c>
      <c r="C52" s="1">
        <v>82635</v>
      </c>
      <c r="D52" t="b">
        <f t="shared" si="0"/>
        <v>0</v>
      </c>
    </row>
    <row r="53" spans="1:4" x14ac:dyDescent="0.3">
      <c r="A53">
        <v>2015</v>
      </c>
      <c r="B53" s="1">
        <v>165100</v>
      </c>
      <c r="C53" s="1">
        <v>122349</v>
      </c>
      <c r="D53" t="b">
        <f t="shared" si="0"/>
        <v>0</v>
      </c>
    </row>
    <row r="54" spans="1:4" x14ac:dyDescent="0.3">
      <c r="A54">
        <v>2016</v>
      </c>
      <c r="B54" s="1">
        <v>142400</v>
      </c>
      <c r="C54" s="1">
        <v>105932</v>
      </c>
      <c r="D54" t="b">
        <f t="shared" si="0"/>
        <v>0</v>
      </c>
    </row>
    <row r="55" spans="1:4" x14ac:dyDescent="0.3">
      <c r="A55">
        <v>2017</v>
      </c>
      <c r="B55" s="1">
        <v>120800</v>
      </c>
      <c r="C55" s="1">
        <v>81866</v>
      </c>
      <c r="D55" t="b">
        <f t="shared" si="0"/>
        <v>0</v>
      </c>
    </row>
    <row r="56" spans="1:4" x14ac:dyDescent="0.3">
      <c r="A56">
        <v>2018</v>
      </c>
      <c r="B56" s="1">
        <v>108540</v>
      </c>
      <c r="C56" s="1">
        <v>75842</v>
      </c>
      <c r="D56" t="b">
        <f t="shared" si="0"/>
        <v>0</v>
      </c>
    </row>
    <row r="57" spans="1:4" x14ac:dyDescent="0.3">
      <c r="A57">
        <v>2019</v>
      </c>
      <c r="B57">
        <v>0</v>
      </c>
      <c r="C57" s="1">
        <v>72489</v>
      </c>
      <c r="D57" t="b">
        <f t="shared" si="0"/>
        <v>0</v>
      </c>
    </row>
    <row r="58" spans="1:4" x14ac:dyDescent="0.3">
      <c r="A58">
        <v>2020</v>
      </c>
      <c r="B58">
        <v>0</v>
      </c>
      <c r="C58" s="1">
        <v>61090</v>
      </c>
      <c r="D58" t="b">
        <f t="shared" si="0"/>
        <v>0</v>
      </c>
    </row>
    <row r="59" spans="1:4" x14ac:dyDescent="0.3">
      <c r="A59">
        <v>2021</v>
      </c>
      <c r="C59" s="1">
        <v>52414</v>
      </c>
      <c r="D59" t="b">
        <f t="shared" si="0"/>
        <v>0</v>
      </c>
    </row>
    <row r="60" spans="1:4" x14ac:dyDescent="0.3">
      <c r="A60">
        <v>2022</v>
      </c>
      <c r="C60" s="1">
        <v>47566</v>
      </c>
      <c r="D60" t="b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camaro_sales</vt:lpstr>
      <vt:lpstr>sales_year_wikipedia</vt:lpstr>
      <vt:lpstr>Sheet5</vt:lpstr>
      <vt:lpstr>sales_body_type</vt:lpstr>
      <vt:lpstr>sales_generation</vt:lpstr>
      <vt:lpstr>Sheet4</vt:lpstr>
      <vt:lpstr>mustang_sales</vt:lpstr>
      <vt:lpstr>year_comparison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Gette</dc:creator>
  <cp:lastModifiedBy>Thomas Gette</cp:lastModifiedBy>
  <dcterms:created xsi:type="dcterms:W3CDTF">2023-02-20T09:27:18Z</dcterms:created>
  <dcterms:modified xsi:type="dcterms:W3CDTF">2023-03-12T09:01:22Z</dcterms:modified>
</cp:coreProperties>
</file>